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i suhastri\Downloads\"/>
    </mc:Choice>
  </mc:AlternateContent>
  <xr:revisionPtr revIDLastSave="0" documentId="13_ncr:1_{7E620888-0A80-42EE-8908-FDABC527E715}" xr6:coauthVersionLast="47" xr6:coauthVersionMax="47" xr10:uidLastSave="{00000000-0000-0000-0000-000000000000}"/>
  <bookViews>
    <workbookView xWindow="-120" yWindow="-120" windowWidth="20730" windowHeight="11280" firstSheet="3" activeTab="6" xr2:uid="{00000000-000D-0000-FFFF-FFFF00000000}"/>
  </bookViews>
  <sheets>
    <sheet name="Project Overview" sheetId="1" r:id="rId1"/>
    <sheet name="CustomerOrdersRaw" sheetId="21" r:id="rId2"/>
    <sheet name="Customer Orders Clean" sheetId="13" r:id="rId3"/>
    <sheet name="Summary Analysis" sheetId="3" r:id="rId4"/>
    <sheet name="Dashboard Data" sheetId="4" r:id="rId5"/>
    <sheet name="Dashboard" sheetId="5" r:id="rId6"/>
    <sheet name="Pivot Customer Orders Clean" sheetId="14" r:id="rId7"/>
    <sheet name="Data Quality" sheetId="6" r:id="rId8"/>
    <sheet name="Insights" sheetId="7" r:id="rId9"/>
  </sheets>
  <definedNames>
    <definedName name="_xlcn.WorksheetConnection_salesperformanceanalysis.xlsxQualitySummary" hidden="1">QualitySummary[]</definedName>
    <definedName name="ExternalData_8" localSheetId="2" hidden="1">'Customer Orders Clean'!$A$6:$Q$831</definedName>
    <definedName name="ExternalData_9" localSheetId="1" hidden="1">'CustomerOrdersRaw'!$A$6:$N$831</definedName>
  </definedNames>
  <calcPr calcId="191029"/>
  <pivotCaches>
    <pivotCache cacheId="20" r:id="rId10"/>
  </pivotCaches>
  <extLst>
    <ext xmlns:x15="http://schemas.microsoft.com/office/spreadsheetml/2010/11/main" uri="{FCE2AD5D-F65C-4FA6-A056-5C36A1767C68}">
      <x15:dataModel>
        <x15:modelTables>
          <x15:modelTable id="QualitySummary" name="QualitySummary" connection="WorksheetConnection_sales-performance-analysis.xlsx!QualitySumma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6" i="5"/>
  <c r="B8" i="3"/>
  <c r="E6" i="5"/>
  <c r="H6" i="5" l="1"/>
  <c r="B11" i="3"/>
  <c r="B9" i="3"/>
  <c r="B10" i="5"/>
  <c r="N6" i="5"/>
  <c r="K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B2BECE-1873-4F2A-BEBC-7E1872C9A539}" keepAlive="1" name="Query - CustomerOrdersRaw" description="Connection to the 'CustomerOrdersRaw' query in the workbook." type="5" refreshedVersion="8" background="1" saveData="1">
    <dbPr connection="Provider=Microsoft.Mashup.OleDb.1;Data Source=$Workbook$;Location=CustomerOrdersRaw;Extended Properties=&quot;&quot;" command="SELECT * FROM [CustomerOrdersRaw]"/>
  </connection>
  <connection id="2" xr16:uid="{BEF1D358-CA62-4A45-92A5-765A90DFACF8}" keepAlive="1" name="Query - Sales Orders Clean (3)" description="Connection to the 'Sales Orders Clean (3)' query in the workbook." type="5" refreshedVersion="8" background="1" saveData="1">
    <dbPr connection="Provider=Microsoft.Mashup.OleDb.1;Data Source=$Workbook$;Location=&quot;Sales Orders Clean (3)&quot;;Extended Properties=&quot;&quot;" command="SELECT * FROM [Sales Orders Clean (3)]"/>
  </connection>
  <connection id="3" xr16:uid="{2AC3CE3B-6695-439C-B266-8DAB1978B37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23894016-6347-4F00-998C-5C6BE1B08BA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5" xr16:uid="{EB01F3D0-3CAD-4205-BAD7-447811B37376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6" xr16:uid="{9946A0FA-3532-4BF9-A6D4-5F62AE33E506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7" xr16:uid="{18836D81-EB21-49E7-944C-9CC51DF37A13}" keepAlive="1" name="Query - Sheet2 (2)" description="Connection to the 'Sheet2 (2)' query in the workbook." type="5" refreshedVersion="8" background="1" saveData="1">
    <dbPr connection="Provider=Microsoft.Mashup.OleDb.1;Data Source=$Workbook$;Location=&quot;Sheet2 (2)&quot;;Extended Properties=&quot;&quot;" command="SELECT * FROM [Sheet2 (2)]"/>
  </connection>
  <connection id="8" xr16:uid="{D8D78287-2995-4CB9-A172-7EE34D38754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7733B62C-3AEF-4FC0-9305-0A7D28FE5DA9}" name="WorksheetConnection_sales-performance-analysis.xlsx!QualitySummary" type="102" refreshedVersion="8" minRefreshableVersion="5">
    <extLst>
      <ext xmlns:x15="http://schemas.microsoft.com/office/spreadsheetml/2010/11/main" uri="{DE250136-89BD-433C-8126-D09CA5730AF9}">
        <x15:connection id="QualitySummary">
          <x15:rangePr sourceName="_xlcn.WorksheetConnection_salesperformanceanalysis.xlsxQualitySummary"/>
        </x15:connection>
      </ext>
    </extLst>
  </connection>
</connections>
</file>

<file path=xl/sharedStrings.xml><?xml version="1.0" encoding="utf-8"?>
<sst xmlns="http://schemas.openxmlformats.org/spreadsheetml/2006/main" count="19286" uniqueCount="1420">
  <si>
    <t>Business-style Excel portfolio example using formulas, summaries, dashboard, and data quality notes.</t>
  </si>
  <si>
    <t>Section</t>
  </si>
  <si>
    <t>Details</t>
  </si>
  <si>
    <t>Business Objective</t>
  </si>
  <si>
    <t>Dataset</t>
  </si>
  <si>
    <t>Tools</t>
  </si>
  <si>
    <t>Microsoft Excel, formulas, summary tables, PivotTable-style analysis, dashboard, GitHub documentation.</t>
  </si>
  <si>
    <t>Main Metrics</t>
  </si>
  <si>
    <t>Order Date</t>
  </si>
  <si>
    <t>Month</t>
  </si>
  <si>
    <t>Customer Name</t>
  </si>
  <si>
    <t>Region</t>
  </si>
  <si>
    <t>Channel</t>
  </si>
  <si>
    <t>Category</t>
  </si>
  <si>
    <t>Revenue</t>
  </si>
  <si>
    <t>Profit</t>
  </si>
  <si>
    <t>Jun</t>
  </si>
  <si>
    <t>Alya Putri</t>
  </si>
  <si>
    <t>Bandung</t>
  </si>
  <si>
    <t>Retail</t>
  </si>
  <si>
    <t>Electronics</t>
  </si>
  <si>
    <t>Clean</t>
  </si>
  <si>
    <t>Bima Santoso</t>
  </si>
  <si>
    <t>Jakarta</t>
  </si>
  <si>
    <t>Online</t>
  </si>
  <si>
    <t>Furniture</t>
  </si>
  <si>
    <t>May</t>
  </si>
  <si>
    <t>Makassar</t>
  </si>
  <si>
    <t>Corporate</t>
  </si>
  <si>
    <t>Accessories</t>
  </si>
  <si>
    <t>Feb</t>
  </si>
  <si>
    <t>Medan</t>
  </si>
  <si>
    <t>Stationery</t>
  </si>
  <si>
    <t>Raka Wijaya</t>
  </si>
  <si>
    <t>Surabaya</t>
  </si>
  <si>
    <t>Office Supplies</t>
  </si>
  <si>
    <t>Citra Dewi</t>
  </si>
  <si>
    <t>Returned</t>
  </si>
  <si>
    <t>Review Status</t>
  </si>
  <si>
    <t>Marketplace</t>
  </si>
  <si>
    <t>Mar</t>
  </si>
  <si>
    <t>Jan</t>
  </si>
  <si>
    <t>Apr</t>
  </si>
  <si>
    <t>Cancelled</t>
  </si>
  <si>
    <t>Aug</t>
  </si>
  <si>
    <t>Duplicate Order</t>
  </si>
  <si>
    <t>Summary Analysis</t>
  </si>
  <si>
    <t>Formula-driven summaries used for dashboard and business review.</t>
  </si>
  <si>
    <t>Metric</t>
  </si>
  <si>
    <t>Value</t>
  </si>
  <si>
    <t>Formula / Logic</t>
  </si>
  <si>
    <t>Total Revenue</t>
  </si>
  <si>
    <t>Total Profit</t>
  </si>
  <si>
    <t>Sum profit from clean rows</t>
  </si>
  <si>
    <t>Clean Orders</t>
  </si>
  <si>
    <t>Count clean rows</t>
  </si>
  <si>
    <t>Average Order Value</t>
  </si>
  <si>
    <t>Revenue divided by clean orders</t>
  </si>
  <si>
    <t>Profit Margin</t>
  </si>
  <si>
    <t>Profit divided by revenue</t>
  </si>
  <si>
    <t>Rows Needing Review</t>
  </si>
  <si>
    <t>Rows excluded or reviewed before dashboarding</t>
  </si>
  <si>
    <t>Orders</t>
  </si>
  <si>
    <t>Dashboard Data</t>
  </si>
  <si>
    <t>Source tables for the executive dashboard.</t>
  </si>
  <si>
    <t>Sales Performance Dashboard</t>
  </si>
  <si>
    <t>Executive view based on clean sales rows only. Rows needing review are separated to protect dashboard accuracy.</t>
  </si>
  <si>
    <t>Rows To Review</t>
  </si>
  <si>
    <t>Profit from clean rows</t>
  </si>
  <si>
    <t>Rows used in dashboard</t>
  </si>
  <si>
    <t>Revenue per clean order</t>
  </si>
  <si>
    <t>Profit as % of revenue</t>
  </si>
  <si>
    <t>Business Readout</t>
  </si>
  <si>
    <t>Makassar and Jakarta should be reviewed as primary revenue drivers. Margin should be checked before increasing focus because high revenue does not always mean stronger profitability.</t>
  </si>
  <si>
    <t>Excluded from main view</t>
  </si>
  <si>
    <t>Data Quality Review</t>
  </si>
  <si>
    <t>Business-style data quality summary.</t>
  </si>
  <si>
    <t>Rows</t>
  </si>
  <si>
    <t>Business Insights</t>
  </si>
  <si>
    <t>Concise recommendations for portfolio discussion.</t>
  </si>
  <si>
    <t>Insight Area</t>
  </si>
  <si>
    <t>Finding</t>
  </si>
  <si>
    <t>Business Implication</t>
  </si>
  <si>
    <t>Regional Performance</t>
  </si>
  <si>
    <t>Use this region as a benchmark for lower-performing regions.</t>
  </si>
  <si>
    <t>Data Quality</t>
  </si>
  <si>
    <t>Dashboard decisions should be based on reviewed and trusted rows.</t>
  </si>
  <si>
    <t>BDG</t>
  </si>
  <si>
    <t xml:space="preserve"> electronics </t>
  </si>
  <si>
    <t>medan</t>
  </si>
  <si>
    <t>STATIONERY</t>
  </si>
  <si>
    <t>JKT</t>
  </si>
  <si>
    <t xml:space="preserve"> accessories </t>
  </si>
  <si>
    <t>RETURNED</t>
  </si>
  <si>
    <t>FURNITURE</t>
  </si>
  <si>
    <t xml:space="preserve"> furniture </t>
  </si>
  <si>
    <t xml:space="preserve"> marketplace </t>
  </si>
  <si>
    <t>ELECTRONICS</t>
  </si>
  <si>
    <t>MARKETPLACE</t>
  </si>
  <si>
    <t>bandung</t>
  </si>
  <si>
    <t xml:space="preserve"> stationery </t>
  </si>
  <si>
    <t xml:space="preserve"> corporate </t>
  </si>
  <si>
    <t>surabaya</t>
  </si>
  <si>
    <t>CORPORATE</t>
  </si>
  <si>
    <t>ACCESSORIES</t>
  </si>
  <si>
    <t>jakarta</t>
  </si>
  <si>
    <t>SBY</t>
  </si>
  <si>
    <t xml:space="preserve"> office supplies </t>
  </si>
  <si>
    <t>09/03/2026</t>
  </si>
  <si>
    <t>OFFICE SUPPLIES</t>
  </si>
  <si>
    <t>20/06/2026</t>
  </si>
  <si>
    <t>Month Name</t>
  </si>
  <si>
    <t>Verified Region</t>
  </si>
  <si>
    <t>June</t>
  </si>
  <si>
    <t>February</t>
  </si>
  <si>
    <t>March</t>
  </si>
  <si>
    <t>January</t>
  </si>
  <si>
    <t>April</t>
  </si>
  <si>
    <t>Bdg</t>
  </si>
  <si>
    <t>Jkt</t>
  </si>
  <si>
    <t>Sby</t>
  </si>
  <si>
    <t>Review Order Date</t>
  </si>
  <si>
    <t>Transaction ID</t>
  </si>
  <si>
    <t>Customer ID</t>
  </si>
  <si>
    <t>Customer Segment</t>
  </si>
  <si>
    <t>Acquisition Channel</t>
  </si>
  <si>
    <t>Product Category</t>
  </si>
  <si>
    <t>Items Purchased</t>
  </si>
  <si>
    <t>Order Value</t>
  </si>
  <si>
    <t>Shipping Fee</t>
  </si>
  <si>
    <t>Delivery Status</t>
  </si>
  <si>
    <t>Satisfaction</t>
  </si>
  <si>
    <t>Used Promo</t>
  </si>
  <si>
    <t>TXN-0001</t>
  </si>
  <si>
    <t>CUST-0238</t>
  </si>
  <si>
    <t>Fajar Permata</t>
  </si>
  <si>
    <t>Website</t>
  </si>
  <si>
    <t>Delivered</t>
  </si>
  <si>
    <t>Satisfied</t>
  </si>
  <si>
    <t>No</t>
  </si>
  <si>
    <t>TXN-0002</t>
  </si>
  <si>
    <t>CUST-0033</t>
  </si>
  <si>
    <t>Rizky Permata</t>
  </si>
  <si>
    <t>Returning Customer</t>
  </si>
  <si>
    <t>TXN-0003</t>
  </si>
  <si>
    <t>CUST-0155</t>
  </si>
  <si>
    <t>Citra Putri</t>
  </si>
  <si>
    <t>Event</t>
  </si>
  <si>
    <t>Delayed</t>
  </si>
  <si>
    <t>Dissatisfied</t>
  </si>
  <si>
    <t>TXN-0004</t>
  </si>
  <si>
    <t>CUST-0072</t>
  </si>
  <si>
    <t>Dimas Lestari</t>
  </si>
  <si>
    <t>TXN-0005</t>
  </si>
  <si>
    <t>CUST-0012</t>
  </si>
  <si>
    <t>Sari Saputra</t>
  </si>
  <si>
    <t>Yes</t>
  </si>
  <si>
    <t>TXN-0006</t>
  </si>
  <si>
    <t>CUST-0143</t>
  </si>
  <si>
    <t>Sari Wijaya</t>
  </si>
  <si>
    <t>New Customer</t>
  </si>
  <si>
    <t>Very Satisfied</t>
  </si>
  <si>
    <t>TXN-0007</t>
  </si>
  <si>
    <t>CUST-0181</t>
  </si>
  <si>
    <t>Nadia Lestari</t>
  </si>
  <si>
    <t>Neutral</t>
  </si>
  <si>
    <t>TXN-0008</t>
  </si>
  <si>
    <t>CUST-0221</t>
  </si>
  <si>
    <t>Alya Lestari</t>
  </si>
  <si>
    <t>Organic Search</t>
  </si>
  <si>
    <t>TXN-0009</t>
  </si>
  <si>
    <t>CUST-0202</t>
  </si>
  <si>
    <t>Citra Wijaya</t>
  </si>
  <si>
    <t>Instagram</t>
  </si>
  <si>
    <t>TXN-0010</t>
  </si>
  <si>
    <t>CUST-0120</t>
  </si>
  <si>
    <t>Fajar Pratama</t>
  </si>
  <si>
    <t>Referral</t>
  </si>
  <si>
    <t>TXN-0011</t>
  </si>
  <si>
    <t>CUST-0139</t>
  </si>
  <si>
    <t>Maya Pratama</t>
  </si>
  <si>
    <t>TXN-0012</t>
  </si>
  <si>
    <t>CUST-0071</t>
  </si>
  <si>
    <t>Fajar Dewi</t>
  </si>
  <si>
    <t>TXN-0013</t>
  </si>
  <si>
    <t>CUST-0116</t>
  </si>
  <si>
    <t>TXN-0014</t>
  </si>
  <si>
    <t>TXN-0015</t>
  </si>
  <si>
    <t>CUST-0122</t>
  </si>
  <si>
    <t>Citra Permata</t>
  </si>
  <si>
    <t>TXN-0016</t>
  </si>
  <si>
    <t>CUST-0106</t>
  </si>
  <si>
    <t>Rizky Dewi</t>
  </si>
  <si>
    <t>TXN-0017</t>
  </si>
  <si>
    <t>CUST-0230</t>
  </si>
  <si>
    <t>Fajar Lestari</t>
  </si>
  <si>
    <t>TXN-0018</t>
  </si>
  <si>
    <t>CUST-0043</t>
  </si>
  <si>
    <t>Maya Permata</t>
  </si>
  <si>
    <t xml:space="preserve"> very satisfied </t>
  </si>
  <si>
    <t>TXN-0019</t>
  </si>
  <si>
    <t>CUST-0082</t>
  </si>
  <si>
    <t>Alya Wijaya</t>
  </si>
  <si>
    <t>TXN-0020</t>
  </si>
  <si>
    <t>CUST-0115</t>
  </si>
  <si>
    <t>Alya Saputra</t>
  </si>
  <si>
    <t>TXN-0021</t>
  </si>
  <si>
    <t>CUST-0002</t>
  </si>
  <si>
    <t>TXN-0022</t>
  </si>
  <si>
    <t>CUST-0177</t>
  </si>
  <si>
    <t>Rizky Santoso</t>
  </si>
  <si>
    <t>TXN-0023</t>
  </si>
  <si>
    <t>CUST-0092</t>
  </si>
  <si>
    <t>Maya Lestari</t>
  </si>
  <si>
    <t xml:space="preserve"> delivered </t>
  </si>
  <si>
    <t>TXN-0024</t>
  </si>
  <si>
    <t>CUST-0138</t>
  </si>
  <si>
    <t>Nadia Santoso</t>
  </si>
  <si>
    <t>TXN-0025</t>
  </si>
  <si>
    <t>CUST-0038</t>
  </si>
  <si>
    <t>Dimas Permata</t>
  </si>
  <si>
    <t>TXN-0026</t>
  </si>
  <si>
    <t>CUST-0187</t>
  </si>
  <si>
    <t>Bima Wijaya</t>
  </si>
  <si>
    <t>TXN-0027</t>
  </si>
  <si>
    <t>CUST-0037</t>
  </si>
  <si>
    <t>Maya Santoso</t>
  </si>
  <si>
    <t>TXN-0028</t>
  </si>
  <si>
    <t>CUST-0164</t>
  </si>
  <si>
    <t>TXN-0029</t>
  </si>
  <si>
    <t>CUST-0142</t>
  </si>
  <si>
    <t>Rizky Lestari</t>
  </si>
  <si>
    <t>TXN-0030</t>
  </si>
  <si>
    <t>CUST-0068</t>
  </si>
  <si>
    <t>TXN-0031</t>
  </si>
  <si>
    <t>CUST-0031</t>
  </si>
  <si>
    <t>TXN-0032</t>
  </si>
  <si>
    <t>CUST-0096</t>
  </si>
  <si>
    <t>TXN-0033</t>
  </si>
  <si>
    <t>CUST-0070</t>
  </si>
  <si>
    <t>Nadia Pratama</t>
  </si>
  <si>
    <t>TXN-0034</t>
  </si>
  <si>
    <t>CUST-0154</t>
  </si>
  <si>
    <t>Rp 2.400.494</t>
  </si>
  <si>
    <t>TXN-0035</t>
  </si>
  <si>
    <t>CUST-0137</t>
  </si>
  <si>
    <t>Fajar Saputra</t>
  </si>
  <si>
    <t>TXN-0036</t>
  </si>
  <si>
    <t>CUST-0056</t>
  </si>
  <si>
    <t>NEUTRAL</t>
  </si>
  <si>
    <t>TXN-0037</t>
  </si>
  <si>
    <t>CUST-0030</t>
  </si>
  <si>
    <t>TXN-0038</t>
  </si>
  <si>
    <t>CUST-0191</t>
  </si>
  <si>
    <t>TXN-0039</t>
  </si>
  <si>
    <t>CUST-0109</t>
  </si>
  <si>
    <t>TXN-0040</t>
  </si>
  <si>
    <t>CUST-0121</t>
  </si>
  <si>
    <t>Rizky Saputra</t>
  </si>
  <si>
    <t>TXN-0041</t>
  </si>
  <si>
    <t>CUST-0048</t>
  </si>
  <si>
    <t>Rizky Wijaya</t>
  </si>
  <si>
    <t>DELIVERED</t>
  </si>
  <si>
    <t>TXN-0042</t>
  </si>
  <si>
    <t>CUST-0130</t>
  </si>
  <si>
    <t>Fajar Putri</t>
  </si>
  <si>
    <t>TXN-0043</t>
  </si>
  <si>
    <t>CUST-0186</t>
  </si>
  <si>
    <t>TXN-0044</t>
  </si>
  <si>
    <t>CUST-0214</t>
  </si>
  <si>
    <t>TXN-0045</t>
  </si>
  <si>
    <t>CUST-0127</t>
  </si>
  <si>
    <t>Bima Putri</t>
  </si>
  <si>
    <t>TXN-0046</t>
  </si>
  <si>
    <t>CUST-0176</t>
  </si>
  <si>
    <t>TXN-0047</t>
  </si>
  <si>
    <t>CUST-0004</t>
  </si>
  <si>
    <t>Alya Pratama</t>
  </si>
  <si>
    <t>TXN-0048</t>
  </si>
  <si>
    <t>CUST-0178</t>
  </si>
  <si>
    <t>TXN-0049</t>
  </si>
  <si>
    <t>Sari Santoso</t>
  </si>
  <si>
    <t>TXN-0050</t>
  </si>
  <si>
    <t>CUST-0125</t>
  </si>
  <si>
    <t>Dimas Santoso</t>
  </si>
  <si>
    <t>TXN-0051</t>
  </si>
  <si>
    <t>CUST-0026</t>
  </si>
  <si>
    <t>Nadia Putri</t>
  </si>
  <si>
    <t>TXN-0052</t>
  </si>
  <si>
    <t>CUST-0195</t>
  </si>
  <si>
    <t>TXN-0053</t>
  </si>
  <si>
    <t>CUST-0208</t>
  </si>
  <si>
    <t>Raka Lestari</t>
  </si>
  <si>
    <t>TXN-0054</t>
  </si>
  <si>
    <t>CUST-0114</t>
  </si>
  <si>
    <t>TXN-0055</t>
  </si>
  <si>
    <t>CUST-0080</t>
  </si>
  <si>
    <t>Fajar Wijaya</t>
  </si>
  <si>
    <t>TXN-0056</t>
  </si>
  <si>
    <t>TXN-0057</t>
  </si>
  <si>
    <t>CUST-0152</t>
  </si>
  <si>
    <t>Bima Lestari</t>
  </si>
  <si>
    <t>TXN-0058</t>
  </si>
  <si>
    <t>TXN-0059</t>
  </si>
  <si>
    <t>TXN-0060</t>
  </si>
  <si>
    <t>CUST-0151</t>
  </si>
  <si>
    <t>Raka Saputra</t>
  </si>
  <si>
    <t>TXN-0061</t>
  </si>
  <si>
    <t>CUST-0128</t>
  </si>
  <si>
    <t xml:space="preserve"> dissatisfied </t>
  </si>
  <si>
    <t>TXN-0062</t>
  </si>
  <si>
    <t>CUST-0074</t>
  </si>
  <si>
    <t>TXN-0063</t>
  </si>
  <si>
    <t>CUST-0018</t>
  </si>
  <si>
    <t>Citra Santoso</t>
  </si>
  <si>
    <t>TXN-0064</t>
  </si>
  <si>
    <t>CUST-0052</t>
  </si>
  <si>
    <t>Rizky Putri</t>
  </si>
  <si>
    <t>TXN-0065</t>
  </si>
  <si>
    <t>CUST-0148</t>
  </si>
  <si>
    <t>Raka Pratama</t>
  </si>
  <si>
    <t>TXN-0066</t>
  </si>
  <si>
    <t>CUST-0094</t>
  </si>
  <si>
    <t>Maya Putri</t>
  </si>
  <si>
    <t>TXN-0067</t>
  </si>
  <si>
    <t>CUST-0217</t>
  </si>
  <si>
    <t>TXN-0068</t>
  </si>
  <si>
    <t>CUST-0050</t>
  </si>
  <si>
    <t>Alya Permata</t>
  </si>
  <si>
    <t>TXN-0069</t>
  </si>
  <si>
    <t>CUST-0035</t>
  </si>
  <si>
    <t>Maya Wijaya</t>
  </si>
  <si>
    <t>TXN-0070</t>
  </si>
  <si>
    <t>CUST-0081</t>
  </si>
  <si>
    <t>Citra Saputra</t>
  </si>
  <si>
    <t>TXN-0071</t>
  </si>
  <si>
    <t>CUST-0134</t>
  </si>
  <si>
    <t>Citra Lestari</t>
  </si>
  <si>
    <t>TXN-0072</t>
  </si>
  <si>
    <t>CUST-0240</t>
  </si>
  <si>
    <t>Citra Pratama</t>
  </si>
  <si>
    <t>TXN-0073</t>
  </si>
  <si>
    <t>cust-0126</t>
  </si>
  <si>
    <t>TXN-0074</t>
  </si>
  <si>
    <t>CUST-0184</t>
  </si>
  <si>
    <t>Sari Pratama</t>
  </si>
  <si>
    <t>TXN-0075</t>
  </si>
  <si>
    <t>Rp 1.641.924</t>
  </si>
  <si>
    <t>TXN-0076</t>
  </si>
  <si>
    <t>CUST-0077</t>
  </si>
  <si>
    <t>Raka Permata</t>
  </si>
  <si>
    <t>TXN-0077</t>
  </si>
  <si>
    <t>TXN-0078</t>
  </si>
  <si>
    <t>CUST-0117</t>
  </si>
  <si>
    <t>TXN-0079</t>
  </si>
  <si>
    <t>TXN-0080</t>
  </si>
  <si>
    <t>CUST-0224</t>
  </si>
  <si>
    <t>Sari Permata</t>
  </si>
  <si>
    <t>TXN-0081</t>
  </si>
  <si>
    <t>CUST-0047</t>
  </si>
  <si>
    <t>TXN-0082</t>
  </si>
  <si>
    <t>TXN-0083</t>
  </si>
  <si>
    <t>TXN-0084</t>
  </si>
  <si>
    <t>CUST-0098</t>
  </si>
  <si>
    <t>TXN-0085</t>
  </si>
  <si>
    <t>CUST-0008</t>
  </si>
  <si>
    <t>TXN-0086</t>
  </si>
  <si>
    <t>TXN-0087</t>
  </si>
  <si>
    <t>CUST-0014</t>
  </si>
  <si>
    <t>TXN-0088</t>
  </si>
  <si>
    <t>CUST-0078</t>
  </si>
  <si>
    <t>TXN-0089</t>
  </si>
  <si>
    <t>CUST-0023</t>
  </si>
  <si>
    <t>TXN-0090</t>
  </si>
  <si>
    <t>CUST-0073</t>
  </si>
  <si>
    <t>TXN-0091</t>
  </si>
  <si>
    <t>CUST-0049</t>
  </si>
  <si>
    <t>TXN-0092</t>
  </si>
  <si>
    <t>TXN-0093</t>
  </si>
  <si>
    <t>CUST-0223</t>
  </si>
  <si>
    <t>Nadia Wijaya</t>
  </si>
  <si>
    <t>TXN-0094</t>
  </si>
  <si>
    <t>CUST-0107</t>
  </si>
  <si>
    <t>Nadia Dewi</t>
  </si>
  <si>
    <t>TXN-0095</t>
  </si>
  <si>
    <t>CUST-0215</t>
  </si>
  <si>
    <t>TXN-0096</t>
  </si>
  <si>
    <t>CUST-0085</t>
  </si>
  <si>
    <t>TXN-0097</t>
  </si>
  <si>
    <t>CUST-0205</t>
  </si>
  <si>
    <t>SATISFIED</t>
  </si>
  <si>
    <t>TXN-0098</t>
  </si>
  <si>
    <t>CUST-0219</t>
  </si>
  <si>
    <t>TXN-0099</t>
  </si>
  <si>
    <t>CUST-0189</t>
  </si>
  <si>
    <t>TXN-0100</t>
  </si>
  <si>
    <t>CUST-0069</t>
  </si>
  <si>
    <t>TXN-0101</t>
  </si>
  <si>
    <t>CUST-0011</t>
  </si>
  <si>
    <t>Maya Saputra</t>
  </si>
  <si>
    <t>TXN-0102</t>
  </si>
  <si>
    <t>CUST-0075</t>
  </si>
  <si>
    <t>TXN-0103</t>
  </si>
  <si>
    <t>CUST-0076</t>
  </si>
  <si>
    <t>Nadia Permata</t>
  </si>
  <si>
    <t>TXN-0104</t>
  </si>
  <si>
    <t>CUST-0170</t>
  </si>
  <si>
    <t xml:space="preserve"> satisfied </t>
  </si>
  <si>
    <t>TXN-0105</t>
  </si>
  <si>
    <t>TXN-0106</t>
  </si>
  <si>
    <t>CUST-0088</t>
  </si>
  <si>
    <t>Raka Santoso</t>
  </si>
  <si>
    <t>TXN-0107</t>
  </si>
  <si>
    <t>CUST-0102</t>
  </si>
  <si>
    <t>TXN-0108</t>
  </si>
  <si>
    <t>TXN-0109</t>
  </si>
  <si>
    <t>CUST-0054</t>
  </si>
  <si>
    <t xml:space="preserve"> delayed </t>
  </si>
  <si>
    <t>TXN-0110</t>
  </si>
  <si>
    <t>TXN-0111</t>
  </si>
  <si>
    <t>TXN-0112</t>
  </si>
  <si>
    <t>CUST-0010</t>
  </si>
  <si>
    <t>TXN-0113</t>
  </si>
  <si>
    <t>TXN-0114</t>
  </si>
  <si>
    <t>TXN-0115</t>
  </si>
  <si>
    <t>TXN-0116</t>
  </si>
  <si>
    <t>Rp 989.095</t>
  </si>
  <si>
    <t>TXN-0117</t>
  </si>
  <si>
    <t>TXN-0118</t>
  </si>
  <si>
    <t>CUST-0045</t>
  </si>
  <si>
    <t>TXN-0119</t>
  </si>
  <si>
    <t>CUST-0201</t>
  </si>
  <si>
    <t>TXN-0120</t>
  </si>
  <si>
    <t>TXN-0121</t>
  </si>
  <si>
    <t>CUST-0162</t>
  </si>
  <si>
    <t>Sari Putri</t>
  </si>
  <si>
    <t>TXN-0122</t>
  </si>
  <si>
    <t>CUST-0166</t>
  </si>
  <si>
    <t>TXN-0123</t>
  </si>
  <si>
    <t>TXN-0124</t>
  </si>
  <si>
    <t>CUST-0036</t>
  </si>
  <si>
    <t>Fajar Santoso</t>
  </si>
  <si>
    <t>TXN-0125</t>
  </si>
  <si>
    <t>CUST-0022</t>
  </si>
  <si>
    <t>TXN-0126</t>
  </si>
  <si>
    <t>CUST-0108</t>
  </si>
  <si>
    <t>Bima Dewi</t>
  </si>
  <si>
    <t>TXN-0127</t>
  </si>
  <si>
    <t>CUST-0180</t>
  </si>
  <si>
    <t>Bima Pratama</t>
  </si>
  <si>
    <t>TXN-0128</t>
  </si>
  <si>
    <t>CUST-0226</t>
  </si>
  <si>
    <t>Alya Dewi</t>
  </si>
  <si>
    <t>TXN-0129</t>
  </si>
  <si>
    <t>TXN-0130</t>
  </si>
  <si>
    <t>CUST-0216</t>
  </si>
  <si>
    <t>Raka Putri</t>
  </si>
  <si>
    <t>TXN-0131</t>
  </si>
  <si>
    <t>TXN-0132</t>
  </si>
  <si>
    <t>CUST-0171</t>
  </si>
  <si>
    <t>TXN-0133</t>
  </si>
  <si>
    <t>TXN-0134</t>
  </si>
  <si>
    <t>CUST-0174</t>
  </si>
  <si>
    <t>TXN-0135</t>
  </si>
  <si>
    <t>TXN-0136</t>
  </si>
  <si>
    <t>TXN-0137</t>
  </si>
  <si>
    <t>TXN-0138</t>
  </si>
  <si>
    <t>CUST-0203</t>
  </si>
  <si>
    <t>TXN-0139</t>
  </si>
  <si>
    <t>CUST-0032</t>
  </si>
  <si>
    <t>TXN-0140</t>
  </si>
  <si>
    <t>TXN-0141</t>
  </si>
  <si>
    <t>TXN-0142</t>
  </si>
  <si>
    <t>CUST-0222</t>
  </si>
  <si>
    <t>TXN-0143</t>
  </si>
  <si>
    <t>CUST-0146</t>
  </si>
  <si>
    <t>TXN-0144</t>
  </si>
  <si>
    <t>CUST-0213</t>
  </si>
  <si>
    <t>TXN-0145</t>
  </si>
  <si>
    <t>CUST-0112</t>
  </si>
  <si>
    <t>TXN-0146</t>
  </si>
  <si>
    <t>cust-0074</t>
  </si>
  <si>
    <t>TXN-0147</t>
  </si>
  <si>
    <t>TXN-0148</t>
  </si>
  <si>
    <t>TXN-0149</t>
  </si>
  <si>
    <t>TXN-0150</t>
  </si>
  <si>
    <t>CUST-0064</t>
  </si>
  <si>
    <t>TXN-0151</t>
  </si>
  <si>
    <t>TXN-0152</t>
  </si>
  <si>
    <t>CUST-0016</t>
  </si>
  <si>
    <t>TXN-0153</t>
  </si>
  <si>
    <t>TXN-0154</t>
  </si>
  <si>
    <t>CUST-0227</t>
  </si>
  <si>
    <t>TXN-0155</t>
  </si>
  <si>
    <t>CUST-0005</t>
  </si>
  <si>
    <t>Nadia Saputra</t>
  </si>
  <si>
    <t>TXN-0156</t>
  </si>
  <si>
    <t>TXN-0157</t>
  </si>
  <si>
    <t>CUST-0100</t>
  </si>
  <si>
    <t>Rp 155.363</t>
  </si>
  <si>
    <t>TXN-0158</t>
  </si>
  <si>
    <t>CUST-0175</t>
  </si>
  <si>
    <t>Bima Permata</t>
  </si>
  <si>
    <t>VERY SATISFIED</t>
  </si>
  <si>
    <t>TXN-0159</t>
  </si>
  <si>
    <t>TXN-0160</t>
  </si>
  <si>
    <t>CUST-0169</t>
  </si>
  <si>
    <t>TXN-0161</t>
  </si>
  <si>
    <t>TXN-0162</t>
  </si>
  <si>
    <t>CUST-0111</t>
  </si>
  <si>
    <t>TXN-0163</t>
  </si>
  <si>
    <t>TXN-0164</t>
  </si>
  <si>
    <t>CUST-0020</t>
  </si>
  <si>
    <t>TXN-0165</t>
  </si>
  <si>
    <t>TXN-0166</t>
  </si>
  <si>
    <t>CUST-0019</t>
  </si>
  <si>
    <t>TXN-0167</t>
  </si>
  <si>
    <t>TXN-0168</t>
  </si>
  <si>
    <t>TXN-0169</t>
  </si>
  <si>
    <t>CUST-0204</t>
  </si>
  <si>
    <t>TXN-0170</t>
  </si>
  <si>
    <t>CUST-0027</t>
  </si>
  <si>
    <t>TXN-0171</t>
  </si>
  <si>
    <t>TXN-0172</t>
  </si>
  <si>
    <t>TXN-0173</t>
  </si>
  <si>
    <t>CUST-0015</t>
  </si>
  <si>
    <t>Alya Santoso</t>
  </si>
  <si>
    <t>TXN-0174</t>
  </si>
  <si>
    <t>TXN-0175</t>
  </si>
  <si>
    <t>TXN-0176</t>
  </si>
  <si>
    <t>CUST-0124</t>
  </si>
  <si>
    <t>TXN-0177</t>
  </si>
  <si>
    <t>TXN-0178</t>
  </si>
  <si>
    <t>TXN-0179</t>
  </si>
  <si>
    <t>TXN-0180</t>
  </si>
  <si>
    <t>CUST-0062</t>
  </si>
  <si>
    <t>TXN-0181</t>
  </si>
  <si>
    <t>TXN-0182</t>
  </si>
  <si>
    <t>TXN-0183</t>
  </si>
  <si>
    <t>TXN-0184</t>
  </si>
  <si>
    <t>CUST-0046</t>
  </si>
  <si>
    <t>TXN-0185</t>
  </si>
  <si>
    <t>TXN-0186</t>
  </si>
  <si>
    <t>CUST-0066</t>
  </si>
  <si>
    <t>TXN-0187</t>
  </si>
  <si>
    <t>CUST-0132</t>
  </si>
  <si>
    <t>TXN-0188</t>
  </si>
  <si>
    <t>TXN-0189</t>
  </si>
  <si>
    <t>TXN-0190</t>
  </si>
  <si>
    <t>TXN-0191</t>
  </si>
  <si>
    <t>TXN-0192</t>
  </si>
  <si>
    <t>CUST-0185</t>
  </si>
  <si>
    <t>TXN-0193</t>
  </si>
  <si>
    <t>TXN-0194</t>
  </si>
  <si>
    <t>TXN-0195</t>
  </si>
  <si>
    <t>TXN-0196</t>
  </si>
  <si>
    <t>CUST-0044</t>
  </si>
  <si>
    <t>TXN-0197</t>
  </si>
  <si>
    <t>CUST-0060</t>
  </si>
  <si>
    <t>TXN-0198</t>
  </si>
  <si>
    <t>CUST-0029</t>
  </si>
  <si>
    <t>Rp 2.370.047</t>
  </si>
  <si>
    <t>TXN-0199</t>
  </si>
  <si>
    <t>CUST-0210</t>
  </si>
  <si>
    <t>TXN-0200</t>
  </si>
  <si>
    <t>TXN-0201</t>
  </si>
  <si>
    <t>TXN-0202</t>
  </si>
  <si>
    <t>TXN-0203</t>
  </si>
  <si>
    <t>TXN-0204</t>
  </si>
  <si>
    <t>CUST-0095</t>
  </si>
  <si>
    <t>TXN-0205</t>
  </si>
  <si>
    <t>CUST-0119</t>
  </si>
  <si>
    <t>TXN-0206</t>
  </si>
  <si>
    <t>TXN-0207</t>
  </si>
  <si>
    <t>TXN-0208</t>
  </si>
  <si>
    <t>TXN-0209</t>
  </si>
  <si>
    <t>TXN-0210</t>
  </si>
  <si>
    <t>TXN-0211</t>
  </si>
  <si>
    <t>TXN-0212</t>
  </si>
  <si>
    <t>TXN-0213</t>
  </si>
  <si>
    <t>CUST-0057</t>
  </si>
  <si>
    <t>TXN-0214</t>
  </si>
  <si>
    <t>CUST-0183</t>
  </si>
  <si>
    <t>TXN-0215</t>
  </si>
  <si>
    <t>CUST-0218</t>
  </si>
  <si>
    <t>TXN-0216</t>
  </si>
  <si>
    <t>TXN-0217</t>
  </si>
  <si>
    <t>TXN-0218</t>
  </si>
  <si>
    <t>TXN-0219</t>
  </si>
  <si>
    <t>cust-0063</t>
  </si>
  <si>
    <t>TXN-0220</t>
  </si>
  <si>
    <t>TXN-0221</t>
  </si>
  <si>
    <t>TXN-0222</t>
  </si>
  <si>
    <t>TXN-0223</t>
  </si>
  <si>
    <t>TXN-0224</t>
  </si>
  <si>
    <t>CUST-0110</t>
  </si>
  <si>
    <t>TXN-0225</t>
  </si>
  <si>
    <t>TXN-0226</t>
  </si>
  <si>
    <t>TXN-0227</t>
  </si>
  <si>
    <t>CUST-0105</t>
  </si>
  <si>
    <t>TXN-0228</t>
  </si>
  <si>
    <t>CUST-0179</t>
  </si>
  <si>
    <t>TXN-0229</t>
  </si>
  <si>
    <t>TXN-0230</t>
  </si>
  <si>
    <t>TXN-0231</t>
  </si>
  <si>
    <t>CUST-0193</t>
  </si>
  <si>
    <t>TXN-0232</t>
  </si>
  <si>
    <t>TXN-0233</t>
  </si>
  <si>
    <t>TXN-0234</t>
  </si>
  <si>
    <t>TXN-0235</t>
  </si>
  <si>
    <t>TXN-0236</t>
  </si>
  <si>
    <t>TXN-0237</t>
  </si>
  <si>
    <t>CUST-0239</t>
  </si>
  <si>
    <t>TXN-0238</t>
  </si>
  <si>
    <t>CUST-0097</t>
  </si>
  <si>
    <t>TXN-0239</t>
  </si>
  <si>
    <t>Rp 2.345.620</t>
  </si>
  <si>
    <t>TXN-0240</t>
  </si>
  <si>
    <t>CUST-0001</t>
  </si>
  <si>
    <t>TXN-0241</t>
  </si>
  <si>
    <t>CUST-0103</t>
  </si>
  <si>
    <t>TXN-0242</t>
  </si>
  <si>
    <t>CUST-0156</t>
  </si>
  <si>
    <t>Dimas Putri</t>
  </si>
  <si>
    <t>TXN-0243</t>
  </si>
  <si>
    <t>TXN-0244</t>
  </si>
  <si>
    <t>CUST-0042</t>
  </si>
  <si>
    <t>TXN-0245</t>
  </si>
  <si>
    <t>TXN-0246</t>
  </si>
  <si>
    <t>CUST-0207</t>
  </si>
  <si>
    <t>TXN-0247</t>
  </si>
  <si>
    <t>TXN-0248</t>
  </si>
  <si>
    <t>CUST-0198</t>
  </si>
  <si>
    <t>TXN-0249</t>
  </si>
  <si>
    <t>TXN-0250</t>
  </si>
  <si>
    <t>CUST-0129</t>
  </si>
  <si>
    <t>TXN-0251</t>
  </si>
  <si>
    <t>TXN-0252</t>
  </si>
  <si>
    <t>CUST-0209</t>
  </si>
  <si>
    <t>TXN-0253</t>
  </si>
  <si>
    <t>CUST-0136</t>
  </si>
  <si>
    <t>TXN-0254</t>
  </si>
  <si>
    <t>CUST-0168</t>
  </si>
  <si>
    <t>TXN-0255</t>
  </si>
  <si>
    <t>CUST-0093</t>
  </si>
  <si>
    <t>TXN-0256</t>
  </si>
  <si>
    <t>TXN-0257</t>
  </si>
  <si>
    <t>TXN-0258</t>
  </si>
  <si>
    <t>TXN-0259</t>
  </si>
  <si>
    <t>TXN-0260</t>
  </si>
  <si>
    <t>CUST-0084</t>
  </si>
  <si>
    <t>TXN-0261</t>
  </si>
  <si>
    <t>TXN-0262</t>
  </si>
  <si>
    <t>TXN-0263</t>
  </si>
  <si>
    <t>TXN-0264</t>
  </si>
  <si>
    <t>TXN-0265</t>
  </si>
  <si>
    <t>CUST-0061</t>
  </si>
  <si>
    <t>TXN-0266</t>
  </si>
  <si>
    <t>TXN-0267</t>
  </si>
  <si>
    <t>TXN-0268</t>
  </si>
  <si>
    <t>TXN-0269</t>
  </si>
  <si>
    <t>TXN-0270</t>
  </si>
  <si>
    <t>CUST-0003</t>
  </si>
  <si>
    <t>TXN-0271</t>
  </si>
  <si>
    <t>TXN-0272</t>
  </si>
  <si>
    <t>TXN-0273</t>
  </si>
  <si>
    <t>TXN-0274</t>
  </si>
  <si>
    <t>TXN-0275</t>
  </si>
  <si>
    <t>TXN-0276</t>
  </si>
  <si>
    <t>TXN-0277</t>
  </si>
  <si>
    <t>CUST-0234</t>
  </si>
  <si>
    <t>TXN-0278</t>
  </si>
  <si>
    <t>CUST-0173</t>
  </si>
  <si>
    <t>TXN-0279</t>
  </si>
  <si>
    <t>TXN-0280</t>
  </si>
  <si>
    <t>Rp 129.371</t>
  </si>
  <si>
    <t>TXN-0281</t>
  </si>
  <si>
    <t>TXN-0282</t>
  </si>
  <si>
    <t>CUST-0091</t>
  </si>
  <si>
    <t>Rizky Pratama</t>
  </si>
  <si>
    <t>TXN-0283</t>
  </si>
  <si>
    <t>CUST-0040</t>
  </si>
  <si>
    <t>TXN-0284</t>
  </si>
  <si>
    <t>CUST-0113</t>
  </si>
  <si>
    <t>Raka Dewi</t>
  </si>
  <si>
    <t>TXN-0285</t>
  </si>
  <si>
    <t>TXN-0286</t>
  </si>
  <si>
    <t>TXN-0287</t>
  </si>
  <si>
    <t>TXN-0288</t>
  </si>
  <si>
    <t>CUST-0153</t>
  </si>
  <si>
    <t>TXN-0289</t>
  </si>
  <si>
    <t>TXN-0290</t>
  </si>
  <si>
    <t>TXN-0291</t>
  </si>
  <si>
    <t>CUST-0024</t>
  </si>
  <si>
    <t>TXN-0292</t>
  </si>
  <si>
    <t>cust-0016</t>
  </si>
  <si>
    <t>TXN-0293</t>
  </si>
  <si>
    <t>TXN-0294</t>
  </si>
  <si>
    <t>TXN-0295</t>
  </si>
  <si>
    <t>TXN-0296</t>
  </si>
  <si>
    <t>TXN-0297</t>
  </si>
  <si>
    <t>TXN-0298</t>
  </si>
  <si>
    <t>TXN-0299</t>
  </si>
  <si>
    <t>TXN-0300</t>
  </si>
  <si>
    <t>TXN-0301</t>
  </si>
  <si>
    <t>CUST-0147</t>
  </si>
  <si>
    <t>TXN-0302</t>
  </si>
  <si>
    <t>TXN-0303</t>
  </si>
  <si>
    <t>CUST-0165</t>
  </si>
  <si>
    <t>TXN-0304</t>
  </si>
  <si>
    <t>TXN-0305</t>
  </si>
  <si>
    <t>TXN-0306</t>
  </si>
  <si>
    <t>TXN-0307</t>
  </si>
  <si>
    <t>TXN-0308</t>
  </si>
  <si>
    <t>TXN-0309</t>
  </si>
  <si>
    <t>TXN-0310</t>
  </si>
  <si>
    <t>TXN-0311</t>
  </si>
  <si>
    <t>TXN-0312</t>
  </si>
  <si>
    <t>CUST-0006</t>
  </si>
  <si>
    <t>TXN-0313</t>
  </si>
  <si>
    <t>CUST-0059</t>
  </si>
  <si>
    <t>TXN-0314</t>
  </si>
  <si>
    <t>CUST-0058</t>
  </si>
  <si>
    <t>TXN-0315</t>
  </si>
  <si>
    <t>TXN-0316</t>
  </si>
  <si>
    <t>CUST-0235</t>
  </si>
  <si>
    <t>Dimas Saputra</t>
  </si>
  <si>
    <t>TXN-0317</t>
  </si>
  <si>
    <t>TXN-0318</t>
  </si>
  <si>
    <t>TXN-0319</t>
  </si>
  <si>
    <t>TXN-0320</t>
  </si>
  <si>
    <t>CUST-0135</t>
  </si>
  <si>
    <t>TXN-0321</t>
  </si>
  <si>
    <t>CUST-0236</t>
  </si>
  <si>
    <t>Rp 369.885</t>
  </si>
  <si>
    <t>TXN-0322</t>
  </si>
  <si>
    <t>CUST-0063</t>
  </si>
  <si>
    <t>TXN-0323</t>
  </si>
  <si>
    <t>TXN-0324</t>
  </si>
  <si>
    <t>CUST-0021</t>
  </si>
  <si>
    <t>TXN-0325</t>
  </si>
  <si>
    <t>TXN-0326</t>
  </si>
  <si>
    <t>TXN-0327</t>
  </si>
  <si>
    <t>CUST-0182</t>
  </si>
  <si>
    <t>TXN-0328</t>
  </si>
  <si>
    <t>TXN-0329</t>
  </si>
  <si>
    <t>CUST-0206</t>
  </si>
  <si>
    <t>TXN-0330</t>
  </si>
  <si>
    <t>TXN-0331</t>
  </si>
  <si>
    <t>TXN-0332</t>
  </si>
  <si>
    <t>TXN-0333</t>
  </si>
  <si>
    <t>TXN-0334</t>
  </si>
  <si>
    <t>TXN-0335</t>
  </si>
  <si>
    <t>TXN-0336</t>
  </si>
  <si>
    <t>TXN-0337</t>
  </si>
  <si>
    <t>TXN-0338</t>
  </si>
  <si>
    <t>TXN-0339</t>
  </si>
  <si>
    <t>TXN-0340</t>
  </si>
  <si>
    <t>CUST-0190</t>
  </si>
  <si>
    <t>Maya Dewi</t>
  </si>
  <si>
    <t>TXN-0341</t>
  </si>
  <si>
    <t>CUST-0172</t>
  </si>
  <si>
    <t>Dimas Dewi</t>
  </si>
  <si>
    <t>TXN-0342</t>
  </si>
  <si>
    <t>TXN-0343</t>
  </si>
  <si>
    <t>TXN-0344</t>
  </si>
  <si>
    <t>TXN-0345</t>
  </si>
  <si>
    <t>TXN-0346</t>
  </si>
  <si>
    <t>TXN-0347</t>
  </si>
  <si>
    <t>TXN-0348</t>
  </si>
  <si>
    <t>CUST-0083</t>
  </si>
  <si>
    <t>TXN-0349</t>
  </si>
  <si>
    <t>TXN-0350</t>
  </si>
  <si>
    <t>TXN-0351</t>
  </si>
  <si>
    <t>TXN-0352</t>
  </si>
  <si>
    <t>TXN-0353</t>
  </si>
  <si>
    <t>TXN-0354</t>
  </si>
  <si>
    <t>CUST-0158</t>
  </si>
  <si>
    <t>TXN-0355</t>
  </si>
  <si>
    <t>TXN-0356</t>
  </si>
  <si>
    <t>TXN-0357</t>
  </si>
  <si>
    <t>TXN-0358</t>
  </si>
  <si>
    <t>TXN-0359</t>
  </si>
  <si>
    <t>CUST-0104</t>
  </si>
  <si>
    <t>TXN-0360</t>
  </si>
  <si>
    <t>TXN-0361</t>
  </si>
  <si>
    <t>TXN-0362</t>
  </si>
  <si>
    <t>Rp 1.050.108</t>
  </si>
  <si>
    <t>TXN-0363</t>
  </si>
  <si>
    <t>TXN-0364</t>
  </si>
  <si>
    <t>TXN-0365</t>
  </si>
  <si>
    <t>cust-0125</t>
  </si>
  <si>
    <t>TXN-0366</t>
  </si>
  <si>
    <t>CUST-0232</t>
  </si>
  <si>
    <t>TXN-0367</t>
  </si>
  <si>
    <t>CUST-0041</t>
  </si>
  <si>
    <t>TXN-0368</t>
  </si>
  <si>
    <t>CUST-0231</t>
  </si>
  <si>
    <t>TXN-0369</t>
  </si>
  <si>
    <t>TXN-0370</t>
  </si>
  <si>
    <t>CUST-0051</t>
  </si>
  <si>
    <t>TXN-0371</t>
  </si>
  <si>
    <t>TXN-0372</t>
  </si>
  <si>
    <t>TXN-0373</t>
  </si>
  <si>
    <t>TXN-0374</t>
  </si>
  <si>
    <t>TXN-0375</t>
  </si>
  <si>
    <t>TXN-0376</t>
  </si>
  <si>
    <t>TXN-0377</t>
  </si>
  <si>
    <t>TXN-0378</t>
  </si>
  <si>
    <t>TXN-0379</t>
  </si>
  <si>
    <t>TXN-0380</t>
  </si>
  <si>
    <t>CUST-0101</t>
  </si>
  <si>
    <t>TXN-0381</t>
  </si>
  <si>
    <t>CUST-0212</t>
  </si>
  <si>
    <t>TXN-0382</t>
  </si>
  <si>
    <t>TXN-0383</t>
  </si>
  <si>
    <t>TXN-0384</t>
  </si>
  <si>
    <t>TXN-0385</t>
  </si>
  <si>
    <t>CUST-0197</t>
  </si>
  <si>
    <t>TXN-0386</t>
  </si>
  <si>
    <t>CUST-0055</t>
  </si>
  <si>
    <t>TXN-0387</t>
  </si>
  <si>
    <t>TXN-0388</t>
  </si>
  <si>
    <t>CUST-0200</t>
  </si>
  <si>
    <t>TXN-0389</t>
  </si>
  <si>
    <t>TXN-0390</t>
  </si>
  <si>
    <t>TXN-0391</t>
  </si>
  <si>
    <t>TXN-0392</t>
  </si>
  <si>
    <t>TXN-0393</t>
  </si>
  <si>
    <t>TXN-0394</t>
  </si>
  <si>
    <t>TXN-0395</t>
  </si>
  <si>
    <t>TXN-0396</t>
  </si>
  <si>
    <t>TXN-0397</t>
  </si>
  <si>
    <t>TXN-0398</t>
  </si>
  <si>
    <t>TXN-0399</t>
  </si>
  <si>
    <t>CUST-0126</t>
  </si>
  <si>
    <t>TXN-0400</t>
  </si>
  <si>
    <t>TXN-0401</t>
  </si>
  <si>
    <t>TXN-0402</t>
  </si>
  <si>
    <t>CUST-0225</t>
  </si>
  <si>
    <t>TXN-0403</t>
  </si>
  <si>
    <t>Rp 2.301.364</t>
  </si>
  <si>
    <t>TXN-0404</t>
  </si>
  <si>
    <t>TXN-0405</t>
  </si>
  <si>
    <t>CUST-0017</t>
  </si>
  <si>
    <t xml:space="preserve"> neutral </t>
  </si>
  <si>
    <t>TXN-0406</t>
  </si>
  <si>
    <t>TXN-0407</t>
  </si>
  <si>
    <t>CUST-0188</t>
  </si>
  <si>
    <t>TXN-0408</t>
  </si>
  <si>
    <t>TXN-0409</t>
  </si>
  <si>
    <t>TXN-0410</t>
  </si>
  <si>
    <t xml:space="preserve"> cancelled </t>
  </si>
  <si>
    <t>TXN-0411</t>
  </si>
  <si>
    <t>TXN-0412</t>
  </si>
  <si>
    <t>TXN-0413</t>
  </si>
  <si>
    <t>TXN-0414</t>
  </si>
  <si>
    <t>CUST-0145</t>
  </si>
  <si>
    <t>TXN-0415</t>
  </si>
  <si>
    <t>TXN-0416</t>
  </si>
  <si>
    <t>TXN-0417</t>
  </si>
  <si>
    <t>TXN-0418</t>
  </si>
  <si>
    <t>TXN-0419</t>
  </si>
  <si>
    <t>TXN-0420</t>
  </si>
  <si>
    <t>TXN-0421</t>
  </si>
  <si>
    <t>TXN-0422</t>
  </si>
  <si>
    <t>CUST-0090</t>
  </si>
  <si>
    <t>TXN-0423</t>
  </si>
  <si>
    <t>TXN-0424</t>
  </si>
  <si>
    <t>CUST-0034</t>
  </si>
  <si>
    <t>TXN-0425</t>
  </si>
  <si>
    <t>TXN-0426</t>
  </si>
  <si>
    <t>CUST-0237</t>
  </si>
  <si>
    <t>TXN-0427</t>
  </si>
  <si>
    <t>TXN-0428</t>
  </si>
  <si>
    <t>TXN-0429</t>
  </si>
  <si>
    <t>TXN-0430</t>
  </si>
  <si>
    <t>TXN-0431</t>
  </si>
  <si>
    <t>TXN-0432</t>
  </si>
  <si>
    <t>TXN-0433</t>
  </si>
  <si>
    <t>TXN-0434</t>
  </si>
  <si>
    <t>CUST-0087</t>
  </si>
  <si>
    <t>TXN-0435</t>
  </si>
  <si>
    <t>TXN-0436</t>
  </si>
  <si>
    <t>TXN-0437</t>
  </si>
  <si>
    <t>TXN-0438</t>
  </si>
  <si>
    <t>cust-0179</t>
  </si>
  <si>
    <t>TXN-0439</t>
  </si>
  <si>
    <t>TXN-0440</t>
  </si>
  <si>
    <t>TXN-0441</t>
  </si>
  <si>
    <t>CUST-0123</t>
  </si>
  <si>
    <t>TXN-0442</t>
  </si>
  <si>
    <t>TXN-0443</t>
  </si>
  <si>
    <t>TXN-0444</t>
  </si>
  <si>
    <t>Rp 1.966.657</t>
  </si>
  <si>
    <t>TXN-0445</t>
  </si>
  <si>
    <t>TXN-0446</t>
  </si>
  <si>
    <t>CUST-0053</t>
  </si>
  <si>
    <t>TXN-0447</t>
  </si>
  <si>
    <t>TXN-0448</t>
  </si>
  <si>
    <t>TXN-0449</t>
  </si>
  <si>
    <t>TXN-0450</t>
  </si>
  <si>
    <t>TXN-0451</t>
  </si>
  <si>
    <t>TXN-0452</t>
  </si>
  <si>
    <t>TXN-0453</t>
  </si>
  <si>
    <t>TXN-0454</t>
  </si>
  <si>
    <t>TXN-0455</t>
  </si>
  <si>
    <t>TXN-0456</t>
  </si>
  <si>
    <t>TXN-0457</t>
  </si>
  <si>
    <t>TXN-0458</t>
  </si>
  <si>
    <t>CUST-0028</t>
  </si>
  <si>
    <t>Dimas Wijaya</t>
  </si>
  <si>
    <t>TXN-0459</t>
  </si>
  <si>
    <t>TXN-0460</t>
  </si>
  <si>
    <t>TXN-0461</t>
  </si>
  <si>
    <t>TXN-0462</t>
  </si>
  <si>
    <t>TXN-0463</t>
  </si>
  <si>
    <t>TXN-0464</t>
  </si>
  <si>
    <t>TXN-0465</t>
  </si>
  <si>
    <t>TXN-0466</t>
  </si>
  <si>
    <t>TXN-0467</t>
  </si>
  <si>
    <t>TXN-0468</t>
  </si>
  <si>
    <t>TXN-0469</t>
  </si>
  <si>
    <t>TXN-0470</t>
  </si>
  <si>
    <t>TXN-0471</t>
  </si>
  <si>
    <t>CUST-0194</t>
  </si>
  <si>
    <t>TXN-0472</t>
  </si>
  <si>
    <t>TXN-0473</t>
  </si>
  <si>
    <t>TXN-0474</t>
  </si>
  <si>
    <t>TXN-0475</t>
  </si>
  <si>
    <t>TXN-0476</t>
  </si>
  <si>
    <t>TXN-0477</t>
  </si>
  <si>
    <t>TXN-0478</t>
  </si>
  <si>
    <t>TXN-0479</t>
  </si>
  <si>
    <t>CUST-0133</t>
  </si>
  <si>
    <t>TXN-0480</t>
  </si>
  <si>
    <t>TXN-0481</t>
  </si>
  <si>
    <t>TXN-0482</t>
  </si>
  <si>
    <t>TXN-0483</t>
  </si>
  <si>
    <t>CUST-0199</t>
  </si>
  <si>
    <t>TXN-0484</t>
  </si>
  <si>
    <t>CUST-0067</t>
  </si>
  <si>
    <t>TXN-0485</t>
  </si>
  <si>
    <t>CUST-0163</t>
  </si>
  <si>
    <t>Rp 1.413.987</t>
  </si>
  <si>
    <t>TXN-0486</t>
  </si>
  <si>
    <t>TXN-0487</t>
  </si>
  <si>
    <t>TXN-0488</t>
  </si>
  <si>
    <t>TXN-0489</t>
  </si>
  <si>
    <t>TXN-0490</t>
  </si>
  <si>
    <t>TXN-0491</t>
  </si>
  <si>
    <t>CUST-0025</t>
  </si>
  <si>
    <t>TXN-0492</t>
  </si>
  <si>
    <t>TXN-0493</t>
  </si>
  <si>
    <t>TXN-0494</t>
  </si>
  <si>
    <t>TXN-0495</t>
  </si>
  <si>
    <t>TXN-0496</t>
  </si>
  <si>
    <t>TXN-0497</t>
  </si>
  <si>
    <t>TXN-0498</t>
  </si>
  <si>
    <t>CUST-0167</t>
  </si>
  <si>
    <t>TXN-0499</t>
  </si>
  <si>
    <t>TXN-0500</t>
  </si>
  <si>
    <t>CUST-0161</t>
  </si>
  <si>
    <t>TXN-0501</t>
  </si>
  <si>
    <t>TXN-0502</t>
  </si>
  <si>
    <t>TXN-0503</t>
  </si>
  <si>
    <t>TXN-0504</t>
  </si>
  <si>
    <t>TXN-0505</t>
  </si>
  <si>
    <t>TXN-0506</t>
  </si>
  <si>
    <t>TXN-0507</t>
  </si>
  <si>
    <t>TXN-0508</t>
  </si>
  <si>
    <t>TXN-0509</t>
  </si>
  <si>
    <t>TXN-0510</t>
  </si>
  <si>
    <t>TXN-0511</t>
  </si>
  <si>
    <t>cust-0143</t>
  </si>
  <si>
    <t>TXN-0512</t>
  </si>
  <si>
    <t>TXN-0513</t>
  </si>
  <si>
    <t>TXN-0514</t>
  </si>
  <si>
    <t>TXN-0515</t>
  </si>
  <si>
    <t>CUST-0157</t>
  </si>
  <si>
    <t>TXN-0516</t>
  </si>
  <si>
    <t>TXN-0517</t>
  </si>
  <si>
    <t>TXN-0518</t>
  </si>
  <si>
    <t>TXN-0519</t>
  </si>
  <si>
    <t>TXN-0520</t>
  </si>
  <si>
    <t>TXN-0521</t>
  </si>
  <si>
    <t>TXN-0522</t>
  </si>
  <si>
    <t>TXN-0523</t>
  </si>
  <si>
    <t>TXN-0524</t>
  </si>
  <si>
    <t>DISSATISFIED</t>
  </si>
  <si>
    <t>TXN-0525</t>
  </si>
  <si>
    <t>TXN-0526</t>
  </si>
  <si>
    <t>Rp 603.595</t>
  </si>
  <si>
    <t>TXN-0527</t>
  </si>
  <si>
    <t>TXN-0528</t>
  </si>
  <si>
    <t>TXN-0529</t>
  </si>
  <si>
    <t>DELAYED</t>
  </si>
  <si>
    <t>TXN-0530</t>
  </si>
  <si>
    <t>TXN-0531</t>
  </si>
  <si>
    <t>TXN-0532</t>
  </si>
  <si>
    <t>TXN-0533</t>
  </si>
  <si>
    <t>TXN-0534</t>
  </si>
  <si>
    <t>CUST-0089</t>
  </si>
  <si>
    <t>TXN-0535</t>
  </si>
  <si>
    <t>TXN-0536</t>
  </si>
  <si>
    <t>TXN-0537</t>
  </si>
  <si>
    <t>TXN-0538</t>
  </si>
  <si>
    <t>TXN-0539</t>
  </si>
  <si>
    <t>TXN-0540</t>
  </si>
  <si>
    <t>TXN-0541</t>
  </si>
  <si>
    <t>TXN-0542</t>
  </si>
  <si>
    <t>TXN-0543</t>
  </si>
  <si>
    <t>TXN-0544</t>
  </si>
  <si>
    <t>CUST-0065</t>
  </si>
  <si>
    <t>TXN-0545</t>
  </si>
  <si>
    <t>TXN-0546</t>
  </si>
  <si>
    <t>TXN-0547</t>
  </si>
  <si>
    <t>TXN-0548</t>
  </si>
  <si>
    <t>TXN-0549</t>
  </si>
  <si>
    <t>TXN-0550</t>
  </si>
  <si>
    <t>TXN-0551</t>
  </si>
  <si>
    <t>TXN-0552</t>
  </si>
  <si>
    <t>TXN-0553</t>
  </si>
  <si>
    <t>TXN-0554</t>
  </si>
  <si>
    <t>TXN-0555</t>
  </si>
  <si>
    <t>TXN-0556</t>
  </si>
  <si>
    <t>CUST-0160</t>
  </si>
  <si>
    <t>TXN-0557</t>
  </si>
  <si>
    <t>TXN-0558</t>
  </si>
  <si>
    <t>CUST-0141</t>
  </si>
  <si>
    <t>TXN-0559</t>
  </si>
  <si>
    <t>TXN-0560</t>
  </si>
  <si>
    <t>CUST-0196</t>
  </si>
  <si>
    <t>TXN-0561</t>
  </si>
  <si>
    <t>TXN-0562</t>
  </si>
  <si>
    <t>TXN-0563</t>
  </si>
  <si>
    <t>TXN-0564</t>
  </si>
  <si>
    <t>CUST-0118</t>
  </si>
  <si>
    <t>TXN-0565</t>
  </si>
  <si>
    <t>TXN-0566</t>
  </si>
  <si>
    <t>TXN-0567</t>
  </si>
  <si>
    <t>Rp 1.965.685</t>
  </si>
  <si>
    <t>TXN-0568</t>
  </si>
  <si>
    <t>TXN-0569</t>
  </si>
  <si>
    <t>TXN-0570</t>
  </si>
  <si>
    <t>TXN-0571</t>
  </si>
  <si>
    <t>TXN-0572</t>
  </si>
  <si>
    <t>TXN-0573</t>
  </si>
  <si>
    <t>TXN-0574</t>
  </si>
  <si>
    <t>TXN-0575</t>
  </si>
  <si>
    <t>TXN-0576</t>
  </si>
  <si>
    <t>TXN-0577</t>
  </si>
  <si>
    <t>TXN-0578</t>
  </si>
  <si>
    <t>TXN-0579</t>
  </si>
  <si>
    <t>TXN-0580</t>
  </si>
  <si>
    <t>TXN-0581</t>
  </si>
  <si>
    <t>TXN-0582</t>
  </si>
  <si>
    <t>TXN-0583</t>
  </si>
  <si>
    <t>TXN-0584</t>
  </si>
  <si>
    <t>cust-0050</t>
  </si>
  <si>
    <t>TXN-0585</t>
  </si>
  <si>
    <t>TXN-0586</t>
  </si>
  <si>
    <t>TXN-0587</t>
  </si>
  <si>
    <t>TXN-0588</t>
  </si>
  <si>
    <t>TXN-0589</t>
  </si>
  <si>
    <t>TXN-0590</t>
  </si>
  <si>
    <t>CUST-0220</t>
  </si>
  <si>
    <t>TXN-0591</t>
  </si>
  <si>
    <t>TXN-0592</t>
  </si>
  <si>
    <t>TXN-0593</t>
  </si>
  <si>
    <t>TXN-0594</t>
  </si>
  <si>
    <t>TXN-0595</t>
  </si>
  <si>
    <t>TXN-0596</t>
  </si>
  <si>
    <t>TXN-0597</t>
  </si>
  <si>
    <t>TXN-0598</t>
  </si>
  <si>
    <t>TXN-0599</t>
  </si>
  <si>
    <t>CUST-0228</t>
  </si>
  <si>
    <t>TXN-0600</t>
  </si>
  <si>
    <t>TXN-0601</t>
  </si>
  <si>
    <t>TXN-0602</t>
  </si>
  <si>
    <t>TXN-0603</t>
  </si>
  <si>
    <t>TXN-0604</t>
  </si>
  <si>
    <t>TXN-0605</t>
  </si>
  <si>
    <t>TXN-0606</t>
  </si>
  <si>
    <t>TXN-0607</t>
  </si>
  <si>
    <t>TXN-0608</t>
  </si>
  <si>
    <t>Rp 1.381.203</t>
  </si>
  <si>
    <t>TXN-0609</t>
  </si>
  <si>
    <t>TXN-0610</t>
  </si>
  <si>
    <t>TXN-0611</t>
  </si>
  <si>
    <t>TXN-0612</t>
  </si>
  <si>
    <t>TXN-0613</t>
  </si>
  <si>
    <t>TXN-0614</t>
  </si>
  <si>
    <t>TXN-0615</t>
  </si>
  <si>
    <t>TXN-0616</t>
  </si>
  <si>
    <t>TXN-0617</t>
  </si>
  <si>
    <t>TXN-0618</t>
  </si>
  <si>
    <t>TXN-0619</t>
  </si>
  <si>
    <t>TXN-0620</t>
  </si>
  <si>
    <t>TXN-0621</t>
  </si>
  <si>
    <t>TXN-0622</t>
  </si>
  <si>
    <t>TXN-0623</t>
  </si>
  <si>
    <t>TXN-0624</t>
  </si>
  <si>
    <t>TXN-0625</t>
  </si>
  <si>
    <t>TXN-0626</t>
  </si>
  <si>
    <t>TXN-0627</t>
  </si>
  <si>
    <t>TXN-0628</t>
  </si>
  <si>
    <t>TXN-0629</t>
  </si>
  <si>
    <t>TXN-0630</t>
  </si>
  <si>
    <t>TXN-0631</t>
  </si>
  <si>
    <t>TXN-0632</t>
  </si>
  <si>
    <t>TXN-0633</t>
  </si>
  <si>
    <t>TXN-0634</t>
  </si>
  <si>
    <t>TXN-0635</t>
  </si>
  <si>
    <t>TXN-0636</t>
  </si>
  <si>
    <t>TXN-0637</t>
  </si>
  <si>
    <t>TXN-0638</t>
  </si>
  <si>
    <t>TXN-0639</t>
  </si>
  <si>
    <t>TXN-0640</t>
  </si>
  <si>
    <t>TXN-0641</t>
  </si>
  <si>
    <t>TXN-0642</t>
  </si>
  <si>
    <t>TXN-0643</t>
  </si>
  <si>
    <t>TXN-0644</t>
  </si>
  <si>
    <t>TXN-0645</t>
  </si>
  <si>
    <t>TXN-0646</t>
  </si>
  <si>
    <t>TXN-0647</t>
  </si>
  <si>
    <t>TXN-0648</t>
  </si>
  <si>
    <t>TXN-0649</t>
  </si>
  <si>
    <t>Rp 1.648.884</t>
  </si>
  <si>
    <t>TXN-0650</t>
  </si>
  <si>
    <t>TXN-0651</t>
  </si>
  <si>
    <t>TXN-0652</t>
  </si>
  <si>
    <t>CUST-0144</t>
  </si>
  <si>
    <t>TXN-0653</t>
  </si>
  <si>
    <t>TXN-0654</t>
  </si>
  <si>
    <t>TXN-0655</t>
  </si>
  <si>
    <t>TXN-0656</t>
  </si>
  <si>
    <t>TXN-0657</t>
  </si>
  <si>
    <t>cust-0085</t>
  </si>
  <si>
    <t>TXN-0658</t>
  </si>
  <si>
    <t>TXN-0659</t>
  </si>
  <si>
    <t>TXN-0660</t>
  </si>
  <si>
    <t>TXN-0661</t>
  </si>
  <si>
    <t>TXN-0662</t>
  </si>
  <si>
    <t>TXN-0663</t>
  </si>
  <si>
    <t>TXN-0664</t>
  </si>
  <si>
    <t>TXN-0665</t>
  </si>
  <si>
    <t>TXN-0666</t>
  </si>
  <si>
    <t>TXN-0667</t>
  </si>
  <si>
    <t>TXN-0668</t>
  </si>
  <si>
    <t>TXN-0669</t>
  </si>
  <si>
    <t>TXN-0670</t>
  </si>
  <si>
    <t>TXN-0671</t>
  </si>
  <si>
    <t>TXN-0672</t>
  </si>
  <si>
    <t>TXN-0673</t>
  </si>
  <si>
    <t>TXN-0674</t>
  </si>
  <si>
    <t>TXN-0675</t>
  </si>
  <si>
    <t>TXN-0676</t>
  </si>
  <si>
    <t>TXN-0677</t>
  </si>
  <si>
    <t>TXN-0678</t>
  </si>
  <si>
    <t>TXN-0679</t>
  </si>
  <si>
    <t>TXN-0680</t>
  </si>
  <si>
    <t>TXN-0681</t>
  </si>
  <si>
    <t>TXN-0682</t>
  </si>
  <si>
    <t>TXN-0683</t>
  </si>
  <si>
    <t>TXN-0684</t>
  </si>
  <si>
    <t>TXN-0685</t>
  </si>
  <si>
    <t>TXN-0686</t>
  </si>
  <si>
    <t>TXN-0687</t>
  </si>
  <si>
    <t>TXN-0688</t>
  </si>
  <si>
    <t>TXN-0689</t>
  </si>
  <si>
    <t>TXN-0690</t>
  </si>
  <si>
    <t>Rp 1.644.272</t>
  </si>
  <si>
    <t>TXN-0691</t>
  </si>
  <si>
    <t>TXN-0692</t>
  </si>
  <si>
    <t>TXN-0693</t>
  </si>
  <si>
    <t>TXN-0694</t>
  </si>
  <si>
    <t>TXN-0695</t>
  </si>
  <si>
    <t>TXN-0696</t>
  </si>
  <si>
    <t>TXN-0697</t>
  </si>
  <si>
    <t>TXN-0698</t>
  </si>
  <si>
    <t>TXN-0699</t>
  </si>
  <si>
    <t>TXN-0700</t>
  </si>
  <si>
    <t>TXN-0701</t>
  </si>
  <si>
    <t>TXN-0702</t>
  </si>
  <si>
    <t>TXN-0703</t>
  </si>
  <si>
    <t>CUST-0086</t>
  </si>
  <si>
    <t>TXN-0704</t>
  </si>
  <si>
    <t>TXN-0705</t>
  </si>
  <si>
    <t>TXN-0706</t>
  </si>
  <si>
    <t>TXN-0707</t>
  </si>
  <si>
    <t>TXN-0708</t>
  </si>
  <si>
    <t>TXN-0709</t>
  </si>
  <si>
    <t>CUST-0013</t>
  </si>
  <si>
    <t>TXN-0710</t>
  </si>
  <si>
    <t>TXN-0711</t>
  </si>
  <si>
    <t>TXN-0712</t>
  </si>
  <si>
    <t>TXN-0713</t>
  </si>
  <si>
    <t>TXN-0714</t>
  </si>
  <si>
    <t>TXN-0715</t>
  </si>
  <si>
    <t>TXN-0716</t>
  </si>
  <si>
    <t>TXN-0717</t>
  </si>
  <si>
    <t>TXN-0718</t>
  </si>
  <si>
    <t>TXN-0719</t>
  </si>
  <si>
    <t>TXN-0720</t>
  </si>
  <si>
    <t>TXN-0721</t>
  </si>
  <si>
    <t>CUST-0079</t>
  </si>
  <si>
    <t>TXN-0722</t>
  </si>
  <si>
    <t>TXN-0723</t>
  </si>
  <si>
    <t>CUST-0233</t>
  </si>
  <si>
    <t>TXN-0724</t>
  </si>
  <si>
    <t>TXN-0725</t>
  </si>
  <si>
    <t>TXN-0726</t>
  </si>
  <si>
    <t>TXN-0727</t>
  </si>
  <si>
    <t>TXN-0728</t>
  </si>
  <si>
    <t>TXN-0729</t>
  </si>
  <si>
    <t>TXN-0730</t>
  </si>
  <si>
    <t>cust-0153</t>
  </si>
  <si>
    <t>TXN-0731</t>
  </si>
  <si>
    <t>Rp 639.736</t>
  </si>
  <si>
    <t>TXN-0732</t>
  </si>
  <si>
    <t>TXN-0733</t>
  </si>
  <si>
    <t>TXN-0734</t>
  </si>
  <si>
    <t>TXN-0735</t>
  </si>
  <si>
    <t>TXN-0736</t>
  </si>
  <si>
    <t>TXN-0737</t>
  </si>
  <si>
    <t>TXN-0738</t>
  </si>
  <si>
    <t>CUST-0007</t>
  </si>
  <si>
    <t>TXN-0739</t>
  </si>
  <si>
    <t>TXN-0740</t>
  </si>
  <si>
    <t>TXN-0741</t>
  </si>
  <si>
    <t>TXN-0742</t>
  </si>
  <si>
    <t>TXN-0743</t>
  </si>
  <si>
    <t>TXN-0744</t>
  </si>
  <si>
    <t>TXN-0745</t>
  </si>
  <si>
    <t>TXN-0746</t>
  </si>
  <si>
    <t>TXN-0747</t>
  </si>
  <si>
    <t>TXN-0748</t>
  </si>
  <si>
    <t>TXN-0749</t>
  </si>
  <si>
    <t>TXN-0750</t>
  </si>
  <si>
    <t>TXN-0751</t>
  </si>
  <si>
    <t>TXN-0752</t>
  </si>
  <si>
    <t>TXN-0753</t>
  </si>
  <si>
    <t>TXN-0754</t>
  </si>
  <si>
    <t>TXN-0755</t>
  </si>
  <si>
    <t>TXN-0756</t>
  </si>
  <si>
    <t>CUST-0211</t>
  </si>
  <si>
    <t>TXN-0757</t>
  </si>
  <si>
    <t>TXN-0758</t>
  </si>
  <si>
    <t>TXN-0759</t>
  </si>
  <si>
    <t>TXN-0760</t>
  </si>
  <si>
    <t>TXN-0761</t>
  </si>
  <si>
    <t>TXN-0762</t>
  </si>
  <si>
    <t>TXN-0763</t>
  </si>
  <si>
    <t>TXN-0764</t>
  </si>
  <si>
    <t>TXN-0765</t>
  </si>
  <si>
    <t>TXN-0766</t>
  </si>
  <si>
    <t>TXN-0767</t>
  </si>
  <si>
    <t>TXN-0768</t>
  </si>
  <si>
    <t>TXN-0769</t>
  </si>
  <si>
    <t>TXN-0770</t>
  </si>
  <si>
    <t>TXN-0771</t>
  </si>
  <si>
    <t>TXN-0772</t>
  </si>
  <si>
    <t>Rp 1.620.061</t>
  </si>
  <si>
    <t>TXN-0773</t>
  </si>
  <si>
    <t>TXN-0774</t>
  </si>
  <si>
    <t>TXN-0775</t>
  </si>
  <si>
    <t>TXN-0776</t>
  </si>
  <si>
    <t>TXN-0777</t>
  </si>
  <si>
    <t>TXN-0778</t>
  </si>
  <si>
    <t>TXN-0779</t>
  </si>
  <si>
    <t>CUST-0192</t>
  </si>
  <si>
    <t>TXN-0780</t>
  </si>
  <si>
    <t>TXN-0781</t>
  </si>
  <si>
    <t>TXN-0782</t>
  </si>
  <si>
    <t>TXN-0783</t>
  </si>
  <si>
    <t>TXN-0784</t>
  </si>
  <si>
    <t>TXN-0785</t>
  </si>
  <si>
    <t>TXN-0786</t>
  </si>
  <si>
    <t>TXN-0787</t>
  </si>
  <si>
    <t>TXN-0788</t>
  </si>
  <si>
    <t>TXN-0789</t>
  </si>
  <si>
    <t>TXN-0790</t>
  </si>
  <si>
    <t>TXN-0791</t>
  </si>
  <si>
    <t>TXN-0792</t>
  </si>
  <si>
    <t>TXN-0793</t>
  </si>
  <si>
    <t>TXN-0794</t>
  </si>
  <si>
    <t>TXN-0795</t>
  </si>
  <si>
    <t>TXN-0796</t>
  </si>
  <si>
    <t>TXN-0797</t>
  </si>
  <si>
    <t>TXN-0798</t>
  </si>
  <si>
    <t>TXN-0799</t>
  </si>
  <si>
    <t>TXN-0800</t>
  </si>
  <si>
    <t>TXN-0801</t>
  </si>
  <si>
    <t>TXN-0802</t>
  </si>
  <si>
    <t>TXN-0803</t>
  </si>
  <si>
    <t>cust-0039</t>
  </si>
  <si>
    <t>TXN-0804</t>
  </si>
  <si>
    <t>TXN-0805</t>
  </si>
  <si>
    <t>TXN-0806</t>
  </si>
  <si>
    <t>TXN-0807</t>
  </si>
  <si>
    <t>TXN-0808</t>
  </si>
  <si>
    <t>TXN-0809</t>
  </si>
  <si>
    <t>TXN-0810</t>
  </si>
  <si>
    <t>TXN-0811</t>
  </si>
  <si>
    <t>TXN-0812</t>
  </si>
  <si>
    <t>TXN-0813</t>
  </si>
  <si>
    <t>Rp 1.961.408</t>
  </si>
  <si>
    <t>TXN-0814</t>
  </si>
  <si>
    <t>TXN-0815</t>
  </si>
  <si>
    <t>TXN-0816</t>
  </si>
  <si>
    <t>TXN-0817</t>
  </si>
  <si>
    <t>TXN-0818</t>
  </si>
  <si>
    <t>TXN-0819</t>
  </si>
  <si>
    <t>TXN-0820</t>
  </si>
  <si>
    <t>Vip</t>
  </si>
  <si>
    <t>October</t>
  </si>
  <si>
    <t>Review Order Value</t>
  </si>
  <si>
    <t>Review Shipping Fee</t>
  </si>
  <si>
    <t>Review Items Purchased</t>
  </si>
  <si>
    <t>Review Items Purchased, Review Order Value</t>
  </si>
  <si>
    <t>Review Satisfaction</t>
  </si>
  <si>
    <t>Duplicate Order, Review Shipping Fee</t>
  </si>
  <si>
    <t>Review Satisfaction, Review Shipping Fee</t>
  </si>
  <si>
    <t>Review Order Value, Review Shipping Fee</t>
  </si>
  <si>
    <t>Review Order Date, Review Shipping Fee</t>
  </si>
  <si>
    <t>Review Order Date, Review Order Value</t>
  </si>
  <si>
    <t>Review Order Date, Review Items Purchased</t>
  </si>
  <si>
    <t>Quality Check</t>
  </si>
  <si>
    <t>Row Labels</t>
  </si>
  <si>
    <t>Grand Total</t>
  </si>
  <si>
    <t>Sum of Order Value</t>
  </si>
  <si>
    <t>Count of Transaction ID</t>
  </si>
  <si>
    <t>Quality check</t>
  </si>
  <si>
    <t>Review Satisfaction, Shipping Fee</t>
  </si>
  <si>
    <t>Order Value Focus</t>
  </si>
  <si>
    <t>Furniture generated the highest clean order value.</t>
  </si>
  <si>
    <t>Medan is the strongest region by clean order value.</t>
  </si>
  <si>
    <t>620 rows were clean and 225 rows needed review.</t>
  </si>
  <si>
    <t>Review whether this category should be the most purchased.</t>
  </si>
  <si>
    <t>Cleaned table used for analysis and dashboard</t>
  </si>
  <si>
    <t>Order-level customer orders data with product, customer segment, region, channel, status, order value, and shipping fee fields.</t>
  </si>
  <si>
    <t>Order-level sales data with product, customer segment, region, channel, status, order value, shipping fee fields.</t>
  </si>
  <si>
    <t>Analyze customer orders performance to identify order value drivers,  delivery status patterns, and order quality issues.</t>
  </si>
  <si>
    <t>Customer Orders Analysis</t>
  </si>
  <si>
    <t>Cleaned Customer Orders Data</t>
  </si>
  <si>
    <t>VIP</t>
  </si>
  <si>
    <t xml:space="preserve"> website </t>
  </si>
  <si>
    <t xml:space="preserve"> sari santoso </t>
  </si>
  <si>
    <t>26/01/2026</t>
  </si>
  <si>
    <t>04/10/2026</t>
  </si>
  <si>
    <t>BIMA SANTOSO</t>
  </si>
  <si>
    <t xml:space="preserve"> new customer </t>
  </si>
  <si>
    <t xml:space="preserve"> maya wijaya </t>
  </si>
  <si>
    <t>INSTAGRAM</t>
  </si>
  <si>
    <t>06/28/2026</t>
  </si>
  <si>
    <t>MAYA DEWI</t>
  </si>
  <si>
    <t xml:space="preserve"> citra lestari </t>
  </si>
  <si>
    <t>05/04/2026</t>
  </si>
  <si>
    <t xml:space="preserve"> event </t>
  </si>
  <si>
    <t>EVENT</t>
  </si>
  <si>
    <t xml:space="preserve"> fajar wijaya </t>
  </si>
  <si>
    <t>03/02/2026</t>
  </si>
  <si>
    <t>RAKA PERMATA</t>
  </si>
  <si>
    <t>24/03/2026</t>
  </si>
  <si>
    <t xml:space="preserve"> citra permata </t>
  </si>
  <si>
    <t>23/01/2026</t>
  </si>
  <si>
    <t>05/06/2026</t>
  </si>
  <si>
    <t>ORGANIC SEARCH</t>
  </si>
  <si>
    <t>FAJAR PERMATA</t>
  </si>
  <si>
    <t xml:space="preserve"> organic search </t>
  </si>
  <si>
    <t xml:space="preserve"> sari putri </t>
  </si>
  <si>
    <t>15/05/2026</t>
  </si>
  <si>
    <t>01/14/2026</t>
  </si>
  <si>
    <t xml:space="preserve"> vip </t>
  </si>
  <si>
    <t xml:space="preserve"> bima permata </t>
  </si>
  <si>
    <t>CITRA PUTRI</t>
  </si>
  <si>
    <t>16/04/2026</t>
  </si>
  <si>
    <t xml:space="preserve"> referral </t>
  </si>
  <si>
    <t xml:space="preserve"> alya dewi </t>
  </si>
  <si>
    <t>05/20/2026</t>
  </si>
  <si>
    <t>SARI PRATAMA</t>
  </si>
  <si>
    <t>11/06/2026</t>
  </si>
  <si>
    <t xml:space="preserve"> citra putri </t>
  </si>
  <si>
    <t>04/17/2026</t>
  </si>
  <si>
    <t>NEW CUSTOMER</t>
  </si>
  <si>
    <t>DIMAS SANTOSO</t>
  </si>
  <si>
    <t xml:space="preserve"> rizky wijaya </t>
  </si>
  <si>
    <t>05/03/2026</t>
  </si>
  <si>
    <t xml:space="preserve"> dimas santoso </t>
  </si>
  <si>
    <t>RETURNING CUSTOMER</t>
  </si>
  <si>
    <t>RIZKY DEWI</t>
  </si>
  <si>
    <t>06/03/2026</t>
  </si>
  <si>
    <t xml:space="preserve"> dimas dewi </t>
  </si>
  <si>
    <t>05/31/2026</t>
  </si>
  <si>
    <t>WEBSITE</t>
  </si>
  <si>
    <t>BIMA PERMATA</t>
  </si>
  <si>
    <t xml:space="preserve"> citra wijaya </t>
  </si>
  <si>
    <t>29/04/2026</t>
  </si>
  <si>
    <t>05/02/2026</t>
  </si>
  <si>
    <t xml:space="preserve"> instagram </t>
  </si>
  <si>
    <t xml:space="preserve"> nadia putri </t>
  </si>
  <si>
    <t>05/01/2026</t>
  </si>
  <si>
    <t>RAKA PRATAMA</t>
  </si>
  <si>
    <t xml:space="preserve"> rizky santoso </t>
  </si>
  <si>
    <t>02/04/2026</t>
  </si>
  <si>
    <t>28/06/2026</t>
  </si>
  <si>
    <t>NADIA PUTRI</t>
  </si>
  <si>
    <t xml:space="preserve"> nadia lestari </t>
  </si>
  <si>
    <t>09/06/2026</t>
  </si>
  <si>
    <t xml:space="preserve"> returning customer </t>
  </si>
  <si>
    <t xml:space="preserve"> fajar saputra </t>
  </si>
  <si>
    <t>ALYA PUTRI</t>
  </si>
  <si>
    <t>12/06/2026</t>
  </si>
  <si>
    <t>MAYA PRATAMA</t>
  </si>
  <si>
    <t>20/03/2026</t>
  </si>
  <si>
    <t>Customer Orders Raw</t>
  </si>
  <si>
    <t>Raw customer order dataset with intentional data quality issues.</t>
  </si>
  <si>
    <t>Total Order Value</t>
  </si>
  <si>
    <t>Sum order value from clean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</si>
</sst>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0"/>
      <color rgb="FF667085"/>
      <name val="Aptos"/>
      <family val="2"/>
    </font>
    <font>
      <b/>
      <sz val="10"/>
      <color rgb="FF0B2545"/>
      <name val="Aptos"/>
      <family val="2"/>
    </font>
    <font>
      <sz val="10"/>
      <color rgb="FFD9E2EC"/>
      <name val="Aptos"/>
      <family val="2"/>
    </font>
    <font>
      <b/>
      <sz val="10"/>
      <color rgb="FFFFFFFF"/>
      <name val="Aptos"/>
      <family val="2"/>
    </font>
    <font>
      <sz val="10"/>
      <color rgb="FF0B2545"/>
      <name val="Aptos"/>
      <family val="2"/>
    </font>
    <font>
      <sz val="10"/>
      <color theme="1"/>
      <name val="Aptos"/>
      <family val="2"/>
    </font>
    <font>
      <b/>
      <sz val="10"/>
      <color rgb="FF2F74B5"/>
      <name val="Aptos"/>
      <family val="2"/>
    </font>
    <font>
      <b/>
      <sz val="24"/>
      <color rgb="FF0B2545"/>
      <name val="Aptos"/>
      <family val="2"/>
    </font>
    <font>
      <sz val="2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rgb="FF0B2545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E8F2FB"/>
      </patternFill>
    </fill>
    <fill>
      <patternFill patternType="solid">
        <fgColor rgb="FFF5F8F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EC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center" wrapText="1"/>
    </xf>
    <xf numFmtId="0" fontId="0" fillId="5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2" fillId="0" borderId="0" xfId="0" applyFont="1"/>
    <xf numFmtId="0" fontId="12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13" fillId="0" borderId="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3" fontId="8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33">
    <dxf>
      <numFmt numFmtId="3" formatCode="#,##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Value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Data'!$B$5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2D-422D-AB9C-7C8C64407E9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2D-422D-AB9C-7C8C64407E9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2D-422D-AB9C-7C8C64407E9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2D-422D-AB9C-7C8C64407E9B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77-D64C-976D-C40525950E79}"/>
              </c:ext>
            </c:extLst>
          </c:dPt>
          <c:cat>
            <c:strRef>
              <c:f>'Dashboard Data'!$A$6:$A$10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Stationery</c:v>
                </c:pt>
              </c:strCache>
            </c:strRef>
          </c:cat>
          <c:val>
            <c:numRef>
              <c:f>'Dashboard Data'!$B$6:$B$10</c:f>
              <c:numCache>
                <c:formatCode>#,##0</c:formatCode>
                <c:ptCount val="5"/>
                <c:pt idx="0">
                  <c:v>147364783</c:v>
                </c:pt>
                <c:pt idx="1">
                  <c:v>145524277</c:v>
                </c:pt>
                <c:pt idx="2">
                  <c:v>159686537</c:v>
                </c:pt>
                <c:pt idx="3">
                  <c:v>140391552</c:v>
                </c:pt>
                <c:pt idx="4">
                  <c:v>148175444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7-D64C-976D-C40525950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Value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'Dashboard Data'!$G$5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0-46B4-89A9-929349DFFFF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00-46B4-89A9-929349DFFFF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00-46B4-89A9-929349DFFFF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00-46B4-89A9-929349DFFFF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2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92-F944-B62E-63B05587E094}"/>
              </c:ext>
            </c:extLst>
          </c:dPt>
          <c:cat>
            <c:strRef>
              <c:f>'Dashboard Data'!$F$6:$F$10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'Dashboard Data'!$G$6:$G$10</c:f>
              <c:numCache>
                <c:formatCode>#,##0</c:formatCode>
                <c:ptCount val="5"/>
                <c:pt idx="0">
                  <c:v>160665707</c:v>
                </c:pt>
                <c:pt idx="1">
                  <c:v>149742102</c:v>
                </c:pt>
                <c:pt idx="2">
                  <c:v>131942297</c:v>
                </c:pt>
                <c:pt idx="3">
                  <c:v>161830148</c:v>
                </c:pt>
                <c:pt idx="4">
                  <c:v>136962339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2-F944-B62E-63B05587E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Order</a:t>
            </a:r>
            <a:r>
              <a:rPr lang="en-US" baseline="0"/>
              <a:t> Value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Data'!$B$12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Data'!$A$13:$A$18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Jan</c:v>
                </c:pt>
                <c:pt idx="3">
                  <c:v>Jun</c:v>
                </c:pt>
                <c:pt idx="4">
                  <c:v>Mar</c:v>
                </c:pt>
                <c:pt idx="5">
                  <c:v>May</c:v>
                </c:pt>
              </c:strCache>
            </c:strRef>
          </c:cat>
          <c:val>
            <c:numRef>
              <c:f>'Dashboard Data'!$B$13:$B$18</c:f>
              <c:numCache>
                <c:formatCode>#,##0</c:formatCode>
                <c:ptCount val="6"/>
                <c:pt idx="0">
                  <c:v>118942878</c:v>
                </c:pt>
                <c:pt idx="1">
                  <c:v>109577599</c:v>
                </c:pt>
                <c:pt idx="2">
                  <c:v>136711251</c:v>
                </c:pt>
                <c:pt idx="3">
                  <c:v>122161077</c:v>
                </c:pt>
                <c:pt idx="4">
                  <c:v>113266643</c:v>
                </c:pt>
                <c:pt idx="5">
                  <c:v>140483145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FA-024C-9B7E-BE769AAA8243}"/>
            </c:ext>
          </c:extLst>
        </c:ser>
        <c:ser>
          <c:idx val="1"/>
          <c:order val="1"/>
          <c:tx>
            <c:strRef>
              <c:f>'Dashboard Data'!$C$12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'Dashboard Data'!$A$13:$A$18</c:f>
              <c:strCache>
                <c:ptCount val="6"/>
                <c:pt idx="0">
                  <c:v>Apr</c:v>
                </c:pt>
                <c:pt idx="1">
                  <c:v>Feb</c:v>
                </c:pt>
                <c:pt idx="2">
                  <c:v>Jan</c:v>
                </c:pt>
                <c:pt idx="3">
                  <c:v>Jun</c:v>
                </c:pt>
                <c:pt idx="4">
                  <c:v>Mar</c:v>
                </c:pt>
                <c:pt idx="5">
                  <c:v>May</c:v>
                </c:pt>
              </c:strCache>
            </c:strRef>
          </c:cat>
          <c:val>
            <c:numRef>
              <c:f>'Dashboard Data'!$C$13:$C$18</c:f>
              <c:numCache>
                <c:formatCode>General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FA-024C-9B7E-BE769AAA8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Data'!$I$12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3A-462A-B078-78EDD9D1FAD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3A-462A-B078-78EDD9D1FAD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3A-462A-B078-78EDD9D1FADA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3A-462A-B078-78EDD9D1FA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Data'!$F$13:$F$16</c:f>
              <c:strCache>
                <c:ptCount val="4"/>
                <c:pt idx="0">
                  <c:v>Event</c:v>
                </c:pt>
                <c:pt idx="1">
                  <c:v>Instagram</c:v>
                </c:pt>
                <c:pt idx="2">
                  <c:v>Marketplace</c:v>
                </c:pt>
                <c:pt idx="3">
                  <c:v>Organic Search</c:v>
                </c:pt>
              </c:strCache>
            </c:strRef>
          </c:cat>
          <c:val>
            <c:numRef>
              <c:f>'Dashboard Data'!$I$13:$I$16</c:f>
              <c:numCache>
                <c:formatCode>General</c:formatCode>
                <c:ptCount val="4"/>
                <c:pt idx="0">
                  <c:v>110</c:v>
                </c:pt>
                <c:pt idx="1">
                  <c:v>99</c:v>
                </c:pt>
                <c:pt idx="2">
                  <c:v>101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1-A74A-B7FB-B3C9AC4D97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Quality'!$B$5</c:f>
              <c:strCache>
                <c:ptCount val="1"/>
                <c:pt idx="0">
                  <c:v>Rows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A0-44FE-85D6-8E5BAB55D0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A0-44FE-85D6-8E5BAB55D0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A0-44FE-85D6-8E5BAB55D0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A0-44FE-85D6-8E5BAB55D0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A0-44FE-85D6-8E5BAB55D0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A0-44FE-85D6-8E5BAB55D0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61-42EA-8D31-891644AB488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61-42EA-8D31-891644AB488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61-42EA-8D31-891644AB48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61-42EA-8D31-891644AB488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61-42EA-8D31-891644AB488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061-42EA-8D31-891644AB488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061-42EA-8D31-891644AB488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61-42EA-8D31-891644AB488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061-42EA-8D31-891644AB4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Quality'!$A$6:$A$20</c:f>
              <c:strCache>
                <c:ptCount val="15"/>
                <c:pt idx="0">
                  <c:v>Clean</c:v>
                </c:pt>
                <c:pt idx="1">
                  <c:v>Review Status</c:v>
                </c:pt>
                <c:pt idx="2">
                  <c:v>Review Order Value</c:v>
                </c:pt>
                <c:pt idx="3">
                  <c:v>Review Order Value, Review Shipping Fee</c:v>
                </c:pt>
                <c:pt idx="4">
                  <c:v>Review Order Date</c:v>
                </c:pt>
                <c:pt idx="5">
                  <c:v>Review Order Date, Review Items Purchased</c:v>
                </c:pt>
                <c:pt idx="6">
                  <c:v>Review Order Date, Review Order Value</c:v>
                </c:pt>
                <c:pt idx="7">
                  <c:v>Review Order Date, Review Shipping Fee</c:v>
                </c:pt>
                <c:pt idx="8">
                  <c:v>Duplicate Order</c:v>
                </c:pt>
                <c:pt idx="9">
                  <c:v>Duplicate Order, Review Shipping Fee</c:v>
                </c:pt>
                <c:pt idx="10">
                  <c:v>Review Items Purchased</c:v>
                </c:pt>
                <c:pt idx="11">
                  <c:v>Review Items Purchased, Review Order Value</c:v>
                </c:pt>
                <c:pt idx="12">
                  <c:v>Review Satisfaction</c:v>
                </c:pt>
                <c:pt idx="13">
                  <c:v>Review Satisfaction, Shipping Fee</c:v>
                </c:pt>
                <c:pt idx="14">
                  <c:v>Review Shipping Fee</c:v>
                </c:pt>
              </c:strCache>
            </c:strRef>
          </c:cat>
          <c:val>
            <c:numRef>
              <c:f>'Data Quality'!$B$6:$B$20</c:f>
              <c:numCache>
                <c:formatCode>General</c:formatCode>
                <c:ptCount val="15"/>
                <c:pt idx="0">
                  <c:v>600</c:v>
                </c:pt>
                <c:pt idx="1">
                  <c:v>28</c:v>
                </c:pt>
                <c:pt idx="2">
                  <c:v>9</c:v>
                </c:pt>
                <c:pt idx="3">
                  <c:v>1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1</c:v>
                </c:pt>
                <c:pt idx="12">
                  <c:v>12</c:v>
                </c:pt>
                <c:pt idx="13">
                  <c:v>1</c:v>
                </c:pt>
                <c:pt idx="14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B-1642-8618-E4AB0E3FD9B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2646</xdr:colOff>
      <xdr:row>12</xdr:row>
      <xdr:rowOff>251353</xdr:rowOff>
    </xdr:from>
    <xdr:ext cx="6872288" cy="3476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4232</xdr:colOff>
      <xdr:row>26</xdr:row>
      <xdr:rowOff>167215</xdr:rowOff>
    </xdr:from>
    <xdr:ext cx="9038167" cy="347133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476249</xdr:colOff>
      <xdr:row>13</xdr:row>
      <xdr:rowOff>0</xdr:rowOff>
    </xdr:from>
    <xdr:ext cx="6838951" cy="347133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804333</xdr:colOff>
      <xdr:row>26</xdr:row>
      <xdr:rowOff>169333</xdr:rowOff>
    </xdr:from>
    <xdr:ext cx="4688417" cy="347133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626100" cy="4076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suhastri" refreshedDate="46236.85079571759" createdVersion="8" refreshedVersion="8" minRefreshableVersion="3" recordCount="825" xr:uid="{AE6DB0F3-6F57-4FFA-AC1F-A36C38400DB0}">
  <cacheSource type="worksheet">
    <worksheetSource name="Sheet2"/>
  </cacheSource>
  <cacheFields count="17">
    <cacheField name="Transaction ID" numFmtId="0">
      <sharedItems count="820">
        <s v="TXN-0001"/>
        <s v="TXN-0002"/>
        <s v="TXN-0003"/>
        <s v="TXN-0004"/>
        <s v="TXN-0005"/>
        <s v="TXN-0006"/>
        <s v="TXN-0007"/>
        <s v="TXN-0008"/>
        <s v="TXN-0009"/>
        <s v="TXN-0010"/>
        <s v="TXN-0011"/>
        <s v="TXN-0012"/>
        <s v="TXN-0013"/>
        <s v="TXN-0014"/>
        <s v="TXN-0015"/>
        <s v="TXN-0016"/>
        <s v="TXN-0017"/>
        <s v="TXN-0018"/>
        <s v="TXN-0019"/>
        <s v="TXN-0020"/>
        <s v="TXN-0021"/>
        <s v="TXN-0022"/>
        <s v="TXN-0023"/>
        <s v="TXN-0024"/>
        <s v="TXN-0025"/>
        <s v="TXN-0026"/>
        <s v="TXN-0027"/>
        <s v="TXN-0028"/>
        <s v="TXN-0029"/>
        <s v="TXN-0030"/>
        <s v="TXN-0031"/>
        <s v="TXN-0032"/>
        <s v="TXN-0033"/>
        <s v="TXN-0034"/>
        <s v="TXN-0035"/>
        <s v="TXN-0036"/>
        <s v="TXN-0037"/>
        <s v="TXN-0038"/>
        <s v="TXN-0039"/>
        <s v="TXN-0040"/>
        <s v="TXN-0041"/>
        <s v="TXN-0042"/>
        <s v="TXN-0043"/>
        <s v="TXN-0044"/>
        <s v="TXN-0045"/>
        <s v="TXN-0046"/>
        <s v="TXN-0047"/>
        <s v="TXN-0048"/>
        <s v="TXN-0049"/>
        <s v="TXN-0050"/>
        <s v="TXN-0051"/>
        <s v="TXN-0052"/>
        <s v="TXN-0053"/>
        <s v="TXN-0054"/>
        <s v="TXN-0055"/>
        <s v="TXN-0056"/>
        <s v="TXN-0057"/>
        <s v="TXN-0058"/>
        <s v="TXN-0059"/>
        <s v="TXN-0060"/>
        <s v="TXN-0061"/>
        <s v="TXN-0062"/>
        <s v="TXN-0063"/>
        <s v="TXN-0064"/>
        <s v="TXN-0065"/>
        <s v="TXN-0066"/>
        <s v="TXN-0067"/>
        <s v="TXN-0068"/>
        <s v="TXN-0069"/>
        <s v="TXN-0070"/>
        <s v="TXN-0071"/>
        <s v="TXN-0072"/>
        <s v="TXN-0073"/>
        <s v="TXN-0074"/>
        <s v="TXN-0075"/>
        <s v="TXN-0076"/>
        <s v="TXN-0077"/>
        <s v="TXN-0078"/>
        <s v="TXN-0079"/>
        <s v="TXN-0080"/>
        <s v="TXN-0081"/>
        <s v="TXN-0082"/>
        <s v="TXN-0083"/>
        <s v="TXN-0084"/>
        <s v="TXN-0085"/>
        <s v="TXN-0086"/>
        <s v="TXN-0087"/>
        <s v="TXN-0088"/>
        <s v="TXN-0089"/>
        <s v="TXN-0090"/>
        <s v="TXN-0091"/>
        <s v="TXN-0092"/>
        <s v="TXN-0093"/>
        <s v="TXN-0094"/>
        <s v="TXN-0095"/>
        <s v="TXN-0096"/>
        <s v="TXN-0097"/>
        <s v="TXN-0098"/>
        <s v="TXN-0099"/>
        <s v="TXN-0100"/>
        <s v="TXN-0101"/>
        <s v="TXN-0102"/>
        <s v="TXN-0103"/>
        <s v="TXN-0104"/>
        <s v="TXN-0105"/>
        <s v="TXN-0106"/>
        <s v="TXN-0107"/>
        <s v="TXN-0108"/>
        <s v="TXN-0109"/>
        <s v="TXN-0110"/>
        <s v="TXN-0111"/>
        <s v="TXN-0112"/>
        <s v="TXN-0113"/>
        <s v="TXN-0114"/>
        <s v="TXN-0115"/>
        <s v="TXN-0116"/>
        <s v="TXN-0117"/>
        <s v="TXN-0118"/>
        <s v="TXN-0119"/>
        <s v="TXN-0120"/>
        <s v="TXN-0121"/>
        <s v="TXN-0122"/>
        <s v="TXN-0123"/>
        <s v="TXN-0124"/>
        <s v="TXN-0125"/>
        <s v="TXN-0126"/>
        <s v="TXN-0127"/>
        <s v="TXN-0128"/>
        <s v="TXN-0129"/>
        <s v="TXN-0130"/>
        <s v="TXN-0131"/>
        <s v="TXN-0132"/>
        <s v="TXN-0133"/>
        <s v="TXN-0134"/>
        <s v="TXN-0135"/>
        <s v="TXN-0136"/>
        <s v="TXN-0137"/>
        <s v="TXN-0138"/>
        <s v="TXN-0139"/>
        <s v="TXN-0140"/>
        <s v="TXN-0141"/>
        <s v="TXN-0142"/>
        <s v="TXN-0143"/>
        <s v="TXN-0144"/>
        <s v="TXN-0145"/>
        <s v="TXN-0146"/>
        <s v="TXN-0147"/>
        <s v="TXN-0148"/>
        <s v="TXN-0149"/>
        <s v="TXN-0150"/>
        <s v="TXN-0151"/>
        <s v="TXN-0152"/>
        <s v="TXN-0153"/>
        <s v="TXN-0154"/>
        <s v="TXN-0155"/>
        <s v="TXN-0156"/>
        <s v="TXN-0157"/>
        <s v="TXN-0158"/>
        <s v="TXN-0159"/>
        <s v="TXN-0160"/>
        <s v="TXN-0161"/>
        <s v="TXN-0162"/>
        <s v="TXN-0163"/>
        <s v="TXN-0164"/>
        <s v="TXN-0165"/>
        <s v="TXN-0166"/>
        <s v="TXN-0167"/>
        <s v="TXN-0168"/>
        <s v="TXN-0169"/>
        <s v="TXN-0170"/>
        <s v="TXN-0171"/>
        <s v="TXN-0172"/>
        <s v="TXN-0173"/>
        <s v="TXN-0174"/>
        <s v="TXN-0175"/>
        <s v="TXN-0176"/>
        <s v="TXN-0177"/>
        <s v="TXN-0178"/>
        <s v="TXN-0179"/>
        <s v="TXN-0180"/>
        <s v="TXN-0181"/>
        <s v="TXN-0182"/>
        <s v="TXN-0183"/>
        <s v="TXN-0184"/>
        <s v="TXN-0185"/>
        <s v="TXN-0186"/>
        <s v="TXN-0187"/>
        <s v="TXN-0188"/>
        <s v="TXN-0189"/>
        <s v="TXN-0190"/>
        <s v="TXN-0191"/>
        <s v="TXN-0192"/>
        <s v="TXN-0193"/>
        <s v="TXN-0194"/>
        <s v="TXN-0195"/>
        <s v="TXN-0196"/>
        <s v="TXN-0197"/>
        <s v="TXN-0198"/>
        <s v="TXN-0199"/>
        <s v="TXN-0200"/>
        <s v="TXN-0201"/>
        <s v="TXN-0202"/>
        <s v="TXN-0203"/>
        <s v="TXN-0204"/>
        <s v="TXN-0205"/>
        <s v="TXN-0206"/>
        <s v="TXN-0207"/>
        <s v="TXN-0208"/>
        <s v="TXN-0209"/>
        <s v="TXN-0210"/>
        <s v="TXN-0211"/>
        <s v="TXN-0212"/>
        <s v="TXN-0213"/>
        <s v="TXN-0214"/>
        <s v="TXN-0215"/>
        <s v="TXN-0216"/>
        <s v="TXN-0217"/>
        <s v="TXN-0218"/>
        <s v="TXN-0219"/>
        <s v="TXN-0220"/>
        <s v="TXN-0221"/>
        <s v="TXN-0222"/>
        <s v="TXN-0223"/>
        <s v="TXN-0224"/>
        <s v="TXN-0225"/>
        <s v="TXN-0226"/>
        <s v="TXN-0227"/>
        <s v="TXN-0228"/>
        <s v="TXN-0229"/>
        <s v="TXN-0230"/>
        <s v="TXN-0231"/>
        <s v="TXN-0232"/>
        <s v="TXN-0233"/>
        <s v="TXN-0234"/>
        <s v="TXN-0235"/>
        <s v="TXN-0236"/>
        <s v="TXN-0237"/>
        <s v="TXN-0238"/>
        <s v="TXN-0239"/>
        <s v="TXN-0240"/>
        <s v="TXN-0241"/>
        <s v="TXN-0242"/>
        <s v="TXN-0243"/>
        <s v="TXN-0244"/>
        <s v="TXN-0245"/>
        <s v="TXN-0246"/>
        <s v="TXN-0247"/>
        <s v="TXN-0248"/>
        <s v="TXN-0249"/>
        <s v="TXN-0250"/>
        <s v="TXN-0251"/>
        <s v="TXN-0252"/>
        <s v="TXN-0253"/>
        <s v="TXN-0254"/>
        <s v="TXN-0255"/>
        <s v="TXN-0256"/>
        <s v="TXN-0257"/>
        <s v="TXN-0258"/>
        <s v="TXN-0259"/>
        <s v="TXN-0260"/>
        <s v="TXN-0261"/>
        <s v="TXN-0262"/>
        <s v="TXN-0263"/>
        <s v="TXN-0264"/>
        <s v="TXN-0265"/>
        <s v="TXN-0266"/>
        <s v="TXN-0267"/>
        <s v="TXN-0268"/>
        <s v="TXN-0269"/>
        <s v="TXN-0270"/>
        <s v="TXN-0271"/>
        <s v="TXN-0272"/>
        <s v="TXN-0273"/>
        <s v="TXN-0274"/>
        <s v="TXN-0275"/>
        <s v="TXN-0276"/>
        <s v="TXN-0277"/>
        <s v="TXN-0278"/>
        <s v="TXN-0279"/>
        <s v="TXN-0280"/>
        <s v="TXN-0281"/>
        <s v="TXN-0282"/>
        <s v="TXN-0283"/>
        <s v="TXN-0284"/>
        <s v="TXN-0285"/>
        <s v="TXN-0286"/>
        <s v="TXN-0287"/>
        <s v="TXN-0288"/>
        <s v="TXN-0289"/>
        <s v="TXN-0290"/>
        <s v="TXN-0291"/>
        <s v="TXN-0292"/>
        <s v="TXN-0293"/>
        <s v="TXN-0294"/>
        <s v="TXN-0295"/>
        <s v="TXN-0296"/>
        <s v="TXN-0297"/>
        <s v="TXN-0298"/>
        <s v="TXN-0299"/>
        <s v="TXN-0300"/>
        <s v="TXN-0301"/>
        <s v="TXN-0302"/>
        <s v="TXN-0303"/>
        <s v="TXN-0304"/>
        <s v="TXN-0305"/>
        <s v="TXN-0306"/>
        <s v="TXN-0307"/>
        <s v="TXN-0308"/>
        <s v="TXN-0309"/>
        <s v="TXN-0310"/>
        <s v="TXN-0311"/>
        <s v="TXN-0312"/>
        <s v="TXN-0313"/>
        <s v="TXN-0314"/>
        <s v="TXN-0315"/>
        <s v="TXN-0316"/>
        <s v="TXN-0317"/>
        <s v="TXN-0318"/>
        <s v="TXN-0319"/>
        <s v="TXN-0320"/>
        <s v="TXN-0321"/>
        <s v="TXN-0322"/>
        <s v="TXN-0323"/>
        <s v="TXN-0324"/>
        <s v="TXN-0325"/>
        <s v="TXN-0326"/>
        <s v="TXN-0327"/>
        <s v="TXN-0328"/>
        <s v="TXN-0329"/>
        <s v="TXN-0330"/>
        <s v="TXN-0331"/>
        <s v="TXN-0332"/>
        <s v="TXN-0333"/>
        <s v="TXN-0334"/>
        <s v="TXN-0335"/>
        <s v="TXN-0336"/>
        <s v="TXN-0337"/>
        <s v="TXN-0338"/>
        <s v="TXN-0339"/>
        <s v="TXN-0340"/>
        <s v="TXN-0341"/>
        <s v="TXN-0342"/>
        <s v="TXN-0343"/>
        <s v="TXN-0344"/>
        <s v="TXN-0345"/>
        <s v="TXN-0346"/>
        <s v="TXN-0347"/>
        <s v="TXN-0348"/>
        <s v="TXN-0349"/>
        <s v="TXN-0350"/>
        <s v="TXN-0351"/>
        <s v="TXN-0352"/>
        <s v="TXN-0353"/>
        <s v="TXN-0354"/>
        <s v="TXN-0355"/>
        <s v="TXN-0356"/>
        <s v="TXN-0357"/>
        <s v="TXN-0358"/>
        <s v="TXN-0359"/>
        <s v="TXN-0360"/>
        <s v="TXN-0361"/>
        <s v="TXN-0362"/>
        <s v="TXN-0363"/>
        <s v="TXN-0364"/>
        <s v="TXN-0365"/>
        <s v="TXN-0366"/>
        <s v="TXN-0367"/>
        <s v="TXN-0368"/>
        <s v="TXN-0369"/>
        <s v="TXN-0370"/>
        <s v="TXN-0371"/>
        <s v="TXN-0372"/>
        <s v="TXN-0373"/>
        <s v="TXN-0374"/>
        <s v="TXN-0375"/>
        <s v="TXN-0376"/>
        <s v="TXN-0377"/>
        <s v="TXN-0378"/>
        <s v="TXN-0379"/>
        <s v="TXN-0380"/>
        <s v="TXN-0381"/>
        <s v="TXN-0382"/>
        <s v="TXN-0383"/>
        <s v="TXN-0384"/>
        <s v="TXN-0385"/>
        <s v="TXN-0386"/>
        <s v="TXN-0387"/>
        <s v="TXN-0388"/>
        <s v="TXN-0389"/>
        <s v="TXN-0390"/>
        <s v="TXN-0391"/>
        <s v="TXN-0392"/>
        <s v="TXN-0393"/>
        <s v="TXN-0394"/>
        <s v="TXN-0395"/>
        <s v="TXN-0396"/>
        <s v="TXN-0397"/>
        <s v="TXN-0398"/>
        <s v="TXN-0399"/>
        <s v="TXN-0400"/>
        <s v="TXN-0401"/>
        <s v="TXN-0402"/>
        <s v="TXN-0403"/>
        <s v="TXN-0404"/>
        <s v="TXN-0405"/>
        <s v="TXN-0406"/>
        <s v="TXN-0407"/>
        <s v="TXN-0408"/>
        <s v="TXN-0409"/>
        <s v="TXN-0410"/>
        <s v="TXN-0411"/>
        <s v="TXN-0412"/>
        <s v="TXN-0413"/>
        <s v="TXN-0414"/>
        <s v="TXN-0415"/>
        <s v="TXN-0416"/>
        <s v="TXN-0417"/>
        <s v="TXN-0418"/>
        <s v="TXN-0419"/>
        <s v="TXN-0420"/>
        <s v="TXN-0421"/>
        <s v="TXN-0422"/>
        <s v="TXN-0423"/>
        <s v="TXN-0424"/>
        <s v="TXN-0425"/>
        <s v="TXN-0426"/>
        <s v="TXN-0427"/>
        <s v="TXN-0428"/>
        <s v="TXN-0429"/>
        <s v="TXN-0430"/>
        <s v="TXN-0431"/>
        <s v="TXN-0432"/>
        <s v="TXN-0433"/>
        <s v="TXN-0434"/>
        <s v="TXN-0435"/>
        <s v="TXN-0436"/>
        <s v="TXN-0437"/>
        <s v="TXN-0438"/>
        <s v="TXN-0439"/>
        <s v="TXN-0440"/>
        <s v="TXN-0441"/>
        <s v="TXN-0442"/>
        <s v="TXN-0443"/>
        <s v="TXN-0444"/>
        <s v="TXN-0445"/>
        <s v="TXN-0446"/>
        <s v="TXN-0447"/>
        <s v="TXN-0448"/>
        <s v="TXN-0449"/>
        <s v="TXN-0450"/>
        <s v="TXN-0451"/>
        <s v="TXN-0452"/>
        <s v="TXN-0453"/>
        <s v="TXN-0454"/>
        <s v="TXN-0455"/>
        <s v="TXN-0456"/>
        <s v="TXN-0457"/>
        <s v="TXN-0458"/>
        <s v="TXN-0459"/>
        <s v="TXN-0460"/>
        <s v="TXN-0461"/>
        <s v="TXN-0462"/>
        <s v="TXN-0463"/>
        <s v="TXN-0464"/>
        <s v="TXN-0465"/>
        <s v="TXN-0466"/>
        <s v="TXN-0467"/>
        <s v="TXN-0468"/>
        <s v="TXN-0469"/>
        <s v="TXN-0470"/>
        <s v="TXN-0471"/>
        <s v="TXN-0472"/>
        <s v="TXN-0473"/>
        <s v="TXN-0474"/>
        <s v="TXN-0475"/>
        <s v="TXN-0476"/>
        <s v="TXN-0477"/>
        <s v="TXN-0478"/>
        <s v="TXN-0479"/>
        <s v="TXN-0480"/>
        <s v="TXN-0481"/>
        <s v="TXN-0482"/>
        <s v="TXN-0483"/>
        <s v="TXN-0484"/>
        <s v="TXN-0485"/>
        <s v="TXN-0486"/>
        <s v="TXN-0487"/>
        <s v="TXN-0488"/>
        <s v="TXN-0489"/>
        <s v="TXN-0490"/>
        <s v="TXN-0491"/>
        <s v="TXN-0492"/>
        <s v="TXN-0493"/>
        <s v="TXN-0494"/>
        <s v="TXN-0495"/>
        <s v="TXN-0496"/>
        <s v="TXN-0497"/>
        <s v="TXN-0498"/>
        <s v="TXN-0499"/>
        <s v="TXN-0500"/>
        <s v="TXN-0501"/>
        <s v="TXN-0502"/>
        <s v="TXN-0503"/>
        <s v="TXN-0504"/>
        <s v="TXN-0505"/>
        <s v="TXN-0506"/>
        <s v="TXN-0507"/>
        <s v="TXN-0508"/>
        <s v="TXN-0509"/>
        <s v="TXN-0510"/>
        <s v="TXN-0511"/>
        <s v="TXN-0512"/>
        <s v="TXN-0513"/>
        <s v="TXN-0514"/>
        <s v="TXN-0515"/>
        <s v="TXN-0516"/>
        <s v="TXN-0517"/>
        <s v="TXN-0518"/>
        <s v="TXN-0519"/>
        <s v="TXN-0520"/>
        <s v="TXN-0521"/>
        <s v="TXN-0522"/>
        <s v="TXN-0523"/>
        <s v="TXN-0524"/>
        <s v="TXN-0525"/>
        <s v="TXN-0526"/>
        <s v="TXN-0527"/>
        <s v="TXN-0528"/>
        <s v="TXN-0529"/>
        <s v="TXN-0530"/>
        <s v="TXN-0531"/>
        <s v="TXN-0532"/>
        <s v="TXN-0533"/>
        <s v="TXN-0534"/>
        <s v="TXN-0535"/>
        <s v="TXN-0536"/>
        <s v="TXN-0537"/>
        <s v="TXN-0538"/>
        <s v="TXN-0539"/>
        <s v="TXN-0540"/>
        <s v="TXN-0541"/>
        <s v="TXN-0542"/>
        <s v="TXN-0543"/>
        <s v="TXN-0544"/>
        <s v="TXN-0545"/>
        <s v="TXN-0546"/>
        <s v="TXN-0547"/>
        <s v="TXN-0548"/>
        <s v="TXN-0549"/>
        <s v="TXN-0550"/>
        <s v="TXN-0551"/>
        <s v="TXN-0552"/>
        <s v="TXN-0553"/>
        <s v="TXN-0554"/>
        <s v="TXN-0555"/>
        <s v="TXN-0556"/>
        <s v="TXN-0557"/>
        <s v="TXN-0558"/>
        <s v="TXN-0559"/>
        <s v="TXN-0560"/>
        <s v="TXN-0561"/>
        <s v="TXN-0562"/>
        <s v="TXN-0563"/>
        <s v="TXN-0564"/>
        <s v="TXN-0565"/>
        <s v="TXN-0566"/>
        <s v="TXN-0567"/>
        <s v="TXN-0568"/>
        <s v="TXN-0569"/>
        <s v="TXN-0570"/>
        <s v="TXN-0571"/>
        <s v="TXN-0572"/>
        <s v="TXN-0573"/>
        <s v="TXN-0574"/>
        <s v="TXN-0575"/>
        <s v="TXN-0576"/>
        <s v="TXN-0577"/>
        <s v="TXN-0578"/>
        <s v="TXN-0579"/>
        <s v="TXN-0580"/>
        <s v="TXN-0581"/>
        <s v="TXN-0582"/>
        <s v="TXN-0583"/>
        <s v="TXN-0584"/>
        <s v="TXN-0585"/>
        <s v="TXN-0586"/>
        <s v="TXN-0587"/>
        <s v="TXN-0588"/>
        <s v="TXN-0589"/>
        <s v="TXN-0590"/>
        <s v="TXN-0591"/>
        <s v="TXN-0592"/>
        <s v="TXN-0593"/>
        <s v="TXN-0594"/>
        <s v="TXN-0595"/>
        <s v="TXN-0596"/>
        <s v="TXN-0597"/>
        <s v="TXN-0598"/>
        <s v="TXN-0599"/>
        <s v="TXN-0600"/>
        <s v="TXN-0601"/>
        <s v="TXN-0602"/>
        <s v="TXN-0603"/>
        <s v="TXN-0604"/>
        <s v="TXN-0605"/>
        <s v="TXN-0606"/>
        <s v="TXN-0607"/>
        <s v="TXN-0608"/>
        <s v="TXN-0609"/>
        <s v="TXN-0610"/>
        <s v="TXN-0611"/>
        <s v="TXN-0612"/>
        <s v="TXN-0613"/>
        <s v="TXN-0614"/>
        <s v="TXN-0615"/>
        <s v="TXN-0616"/>
        <s v="TXN-0617"/>
        <s v="TXN-0618"/>
        <s v="TXN-0619"/>
        <s v="TXN-0620"/>
        <s v="TXN-0621"/>
        <s v="TXN-0622"/>
        <s v="TXN-0623"/>
        <s v="TXN-0624"/>
        <s v="TXN-0625"/>
        <s v="TXN-0626"/>
        <s v="TXN-0627"/>
        <s v="TXN-0628"/>
        <s v="TXN-0629"/>
        <s v="TXN-0630"/>
        <s v="TXN-0631"/>
        <s v="TXN-0632"/>
        <s v="TXN-0633"/>
        <s v="TXN-0634"/>
        <s v="TXN-0635"/>
        <s v="TXN-0636"/>
        <s v="TXN-0637"/>
        <s v="TXN-0638"/>
        <s v="TXN-0639"/>
        <s v="TXN-0640"/>
        <s v="TXN-0641"/>
        <s v="TXN-0642"/>
        <s v="TXN-0643"/>
        <s v="TXN-0644"/>
        <s v="TXN-0645"/>
        <s v="TXN-0646"/>
        <s v="TXN-0647"/>
        <s v="TXN-0648"/>
        <s v="TXN-0649"/>
        <s v="TXN-0650"/>
        <s v="TXN-0651"/>
        <s v="TXN-0652"/>
        <s v="TXN-0653"/>
        <s v="TXN-0654"/>
        <s v="TXN-0655"/>
        <s v="TXN-0656"/>
        <s v="TXN-0657"/>
        <s v="TXN-0658"/>
        <s v="TXN-0659"/>
        <s v="TXN-0660"/>
        <s v="TXN-0661"/>
        <s v="TXN-0662"/>
        <s v="TXN-0663"/>
        <s v="TXN-0664"/>
        <s v="TXN-0665"/>
        <s v="TXN-0666"/>
        <s v="TXN-0667"/>
        <s v="TXN-0668"/>
        <s v="TXN-0669"/>
        <s v="TXN-0670"/>
        <s v="TXN-0671"/>
        <s v="TXN-0672"/>
        <s v="TXN-0673"/>
        <s v="TXN-0674"/>
        <s v="TXN-0675"/>
        <s v="TXN-0676"/>
        <s v="TXN-0677"/>
        <s v="TXN-0678"/>
        <s v="TXN-0679"/>
        <s v="TXN-0680"/>
        <s v="TXN-0681"/>
        <s v="TXN-0682"/>
        <s v="TXN-0683"/>
        <s v="TXN-0684"/>
        <s v="TXN-0685"/>
        <s v="TXN-0686"/>
        <s v="TXN-0687"/>
        <s v="TXN-0688"/>
        <s v="TXN-0689"/>
        <s v="TXN-0690"/>
        <s v="TXN-0691"/>
        <s v="TXN-0692"/>
        <s v="TXN-0693"/>
        <s v="TXN-0694"/>
        <s v="TXN-0695"/>
        <s v="TXN-0696"/>
        <s v="TXN-0697"/>
        <s v="TXN-0698"/>
        <s v="TXN-0699"/>
        <s v="TXN-0700"/>
        <s v="TXN-0701"/>
        <s v="TXN-0702"/>
        <s v="TXN-0703"/>
        <s v="TXN-0704"/>
        <s v="TXN-0705"/>
        <s v="TXN-0706"/>
        <s v="TXN-0707"/>
        <s v="TXN-0708"/>
        <s v="TXN-0709"/>
        <s v="TXN-0710"/>
        <s v="TXN-0711"/>
        <s v="TXN-0712"/>
        <s v="TXN-0713"/>
        <s v="TXN-0714"/>
        <s v="TXN-0715"/>
        <s v="TXN-0716"/>
        <s v="TXN-0717"/>
        <s v="TXN-0718"/>
        <s v="TXN-0719"/>
        <s v="TXN-0720"/>
        <s v="TXN-0721"/>
        <s v="TXN-0722"/>
        <s v="TXN-0723"/>
        <s v="TXN-0724"/>
        <s v="TXN-0725"/>
        <s v="TXN-0726"/>
        <s v="TXN-0727"/>
        <s v="TXN-0728"/>
        <s v="TXN-0729"/>
        <s v="TXN-0730"/>
        <s v="TXN-0731"/>
        <s v="TXN-0732"/>
        <s v="TXN-0733"/>
        <s v="TXN-0734"/>
        <s v="TXN-0735"/>
        <s v="TXN-0736"/>
        <s v="TXN-0737"/>
        <s v="TXN-0738"/>
        <s v="TXN-0739"/>
        <s v="TXN-0740"/>
        <s v="TXN-0741"/>
        <s v="TXN-0742"/>
        <s v="TXN-0743"/>
        <s v="TXN-0744"/>
        <s v="TXN-0745"/>
        <s v="TXN-0746"/>
        <s v="TXN-0747"/>
        <s v="TXN-0748"/>
        <s v="TXN-0749"/>
        <s v="TXN-0750"/>
        <s v="TXN-0751"/>
        <s v="TXN-0752"/>
        <s v="TXN-0753"/>
        <s v="TXN-0754"/>
        <s v="TXN-0755"/>
        <s v="TXN-0756"/>
        <s v="TXN-0757"/>
        <s v="TXN-0758"/>
        <s v="TXN-0759"/>
        <s v="TXN-0760"/>
        <s v="TXN-0761"/>
        <s v="TXN-0762"/>
        <s v="TXN-0763"/>
        <s v="TXN-0764"/>
        <s v="TXN-0765"/>
        <s v="TXN-0766"/>
        <s v="TXN-0767"/>
        <s v="TXN-0768"/>
        <s v="TXN-0769"/>
        <s v="TXN-0770"/>
        <s v="TXN-0771"/>
        <s v="TXN-0772"/>
        <s v="TXN-0773"/>
        <s v="TXN-0774"/>
        <s v="TXN-0775"/>
        <s v="TXN-0776"/>
        <s v="TXN-0777"/>
        <s v="TXN-0778"/>
        <s v="TXN-0779"/>
        <s v="TXN-0780"/>
        <s v="TXN-0781"/>
        <s v="TXN-0782"/>
        <s v="TXN-0783"/>
        <s v="TXN-0784"/>
        <s v="TXN-0785"/>
        <s v="TXN-0786"/>
        <s v="TXN-0787"/>
        <s v="TXN-0788"/>
        <s v="TXN-0789"/>
        <s v="TXN-0790"/>
        <s v="TXN-0791"/>
        <s v="TXN-0792"/>
        <s v="TXN-0793"/>
        <s v="TXN-0794"/>
        <s v="TXN-0795"/>
        <s v="TXN-0796"/>
        <s v="TXN-0797"/>
        <s v="TXN-0798"/>
        <s v="TXN-0799"/>
        <s v="TXN-0800"/>
        <s v="TXN-0801"/>
        <s v="TXN-0802"/>
        <s v="TXN-0803"/>
        <s v="TXN-0804"/>
        <s v="TXN-0805"/>
        <s v="TXN-0806"/>
        <s v="TXN-0807"/>
        <s v="TXN-0808"/>
        <s v="TXN-0809"/>
        <s v="TXN-0810"/>
        <s v="TXN-0811"/>
        <s v="TXN-0812"/>
        <s v="TXN-0813"/>
        <s v="TXN-0814"/>
        <s v="TXN-0815"/>
        <s v="TXN-0816"/>
        <s v="TXN-0817"/>
        <s v="TXN-0818"/>
        <s v="TXN-0819"/>
        <s v="TXN-0820"/>
      </sharedItems>
    </cacheField>
    <cacheField name="Customer ID" numFmtId="0">
      <sharedItems/>
    </cacheField>
    <cacheField name="Customer Name" numFmtId="0">
      <sharedItems/>
    </cacheField>
    <cacheField name="Order Date" numFmtId="14">
      <sharedItems containsSemiMixedTypes="0" containsNonDate="0" containsDate="1" containsString="0" minDate="1970-01-01T00:00:00" maxDate="2026-10-05T00:00:00"/>
    </cacheField>
    <cacheField name="Month Name" numFmtId="0">
      <sharedItems count="7">
        <s v="June"/>
        <s v="January"/>
        <s v="February"/>
        <s v="April"/>
        <s v="March"/>
        <s v="May"/>
        <s v="October"/>
      </sharedItems>
    </cacheField>
    <cacheField name="Region" numFmtId="0">
      <sharedItems/>
    </cacheField>
    <cacheField name="Verified Region" numFmtId="0">
      <sharedItems count="5">
        <s v="Bandung"/>
        <s v="Medan"/>
        <s v="Makassar"/>
        <s v="Jakarta"/>
        <s v="Surabaya"/>
      </sharedItems>
    </cacheField>
    <cacheField name="Customer Segment" numFmtId="0">
      <sharedItems/>
    </cacheField>
    <cacheField name="Acquisition Channel" numFmtId="0">
      <sharedItems count="6">
        <s v="Website"/>
        <s v="Event"/>
        <s v="Marketplace"/>
        <s v="Organic Search"/>
        <s v="Instagram"/>
        <s v="Referral"/>
      </sharedItems>
    </cacheField>
    <cacheField name="Product Category" numFmtId="0">
      <sharedItems count="5">
        <s v="Accessories"/>
        <s v="Stationery"/>
        <s v="Electronics"/>
        <s v="Furniture"/>
        <s v="Office Supplies"/>
      </sharedItems>
    </cacheField>
    <cacheField name="Items Purchased" numFmtId="0">
      <sharedItems containsString="0" containsBlank="1" containsNumber="1" containsInteger="1" minValue="1" maxValue="7"/>
    </cacheField>
    <cacheField name="Order Value" numFmtId="0">
      <sharedItems containsBlank="1" containsMixedTypes="1" containsNumber="1" containsInteger="1" minValue="122247" maxValue="2499402" count="809">
        <n v="2028370"/>
        <n v="370197"/>
        <n v="832761"/>
        <n v="1915625"/>
        <n v="2094060"/>
        <n v="1825479"/>
        <n v="222397"/>
        <n v="416531"/>
        <n v="459566"/>
        <n v="291439"/>
        <n v="2126947"/>
        <n v="385789"/>
        <n v="1664115"/>
        <n v="740564"/>
        <n v="1882152"/>
        <n v="1557775"/>
        <n v="840317"/>
        <n v="794401"/>
        <n v="650468"/>
        <n v="801983"/>
        <n v="2248227"/>
        <n v="2128992"/>
        <n v="1488880"/>
        <n v="486485"/>
        <n v="1670340"/>
        <n v="1863193"/>
        <n v="1391843"/>
        <n v="1858597"/>
        <n v="297137"/>
        <n v="2101981"/>
        <n v="2188002"/>
        <n v="193589"/>
        <n v="1879569"/>
        <s v="Rp 2.400.494"/>
        <n v="1594840"/>
        <n v="2231340"/>
        <n v="192894"/>
        <n v="1052636"/>
        <n v="588596"/>
        <n v="1181211"/>
        <n v="1594439"/>
        <n v="406626"/>
        <n v="1017645"/>
        <n v="1712220"/>
        <n v="1329097"/>
        <n v="1067381"/>
        <n v="2182122"/>
        <n v="546653"/>
        <n v="1288190"/>
        <n v="1289752"/>
        <n v="406171"/>
        <n v="2300823"/>
        <n v="2412690"/>
        <n v="270915"/>
        <n v="2164534"/>
        <n v="1761586"/>
        <n v="657701"/>
        <n v="1593330"/>
        <n v="832105"/>
        <m/>
        <n v="1544131"/>
        <n v="319360"/>
        <n v="2347442"/>
        <n v="1807372"/>
        <n v="1013188"/>
        <n v="739681"/>
        <n v="1239605"/>
        <n v="1150064"/>
        <n v="1203794"/>
        <n v="1369815"/>
        <n v="2323100"/>
        <n v="1034393"/>
        <n v="1691626"/>
        <n v="1412564"/>
        <s v="Rp 1.641.924"/>
        <n v="792041"/>
        <n v="1515538"/>
        <n v="234717"/>
        <n v="464906"/>
        <n v="1213370"/>
        <n v="1702594"/>
        <n v="827813"/>
        <n v="1945188"/>
        <n v="1929039"/>
        <n v="1218066"/>
        <n v="1787465"/>
        <n v="1104996"/>
        <n v="1675672"/>
        <n v="2344758"/>
        <n v="1226280"/>
        <n v="348871"/>
        <n v="2472394"/>
        <n v="877721"/>
        <n v="1152459"/>
        <n v="764981"/>
        <n v="2020447"/>
        <n v="416638"/>
        <n v="803422"/>
        <n v="670656"/>
        <n v="1894486"/>
        <n v="1553381"/>
        <n v="1954402"/>
        <n v="320186"/>
        <n v="1182754"/>
        <n v="1768182"/>
        <n v="1005284"/>
        <n v="175803"/>
        <n v="1776738"/>
        <n v="728820"/>
        <n v="608463"/>
        <n v="1763048"/>
        <n v="1796380"/>
        <n v="1444771"/>
        <n v="1949681"/>
        <n v="1542510"/>
        <s v="Rp 989.095"/>
        <n v="2190833"/>
        <n v="254091"/>
        <n v="315774"/>
        <n v="585277"/>
        <n v="981452"/>
        <n v="1523445"/>
        <n v="477496"/>
        <n v="1853964"/>
        <n v="1440386"/>
        <n v="2442010"/>
        <n v="473499"/>
        <n v="791203"/>
        <n v="1209497"/>
        <n v="1110263"/>
        <n v="707082"/>
        <n v="1848275"/>
        <n v="1809271"/>
        <n v="1868699"/>
        <n v="2030221"/>
        <n v="1334630"/>
        <n v="716177"/>
        <n v="1582339"/>
        <n v="677043"/>
        <n v="1838105"/>
        <n v="224035"/>
        <n v="914383"/>
        <n v="1983233"/>
        <n v="1860369"/>
        <n v="886169"/>
        <n v="365374"/>
        <n v="1111915"/>
        <n v="394551"/>
        <n v="646684"/>
        <n v="2374587"/>
        <n v="1266315"/>
        <n v="1778028"/>
        <n v="1557116"/>
        <n v="680886"/>
        <n v="445155"/>
        <s v="Rp 155.363"/>
        <n v="923258"/>
        <n v="996971"/>
        <n v="2490369"/>
        <n v="216961"/>
        <n v="1269388"/>
        <n v="2353090"/>
        <n v="945761"/>
        <n v="1522166"/>
        <n v="1959325"/>
        <n v="380056"/>
        <n v="1804780"/>
        <n v="544790"/>
        <n v="403302"/>
        <n v="1984889"/>
        <n v="2389721"/>
        <n v="2246964"/>
        <n v="2080427"/>
        <n v="296966"/>
        <n v="1696688"/>
        <n v="717277"/>
        <n v="1038322"/>
        <n v="544422"/>
        <n v="1681750"/>
        <n v="1706267"/>
        <n v="1353891"/>
        <n v="2094121"/>
        <n v="1688161"/>
        <n v="971445"/>
        <n v="475504"/>
        <n v="1530854"/>
        <n v="1100588"/>
        <n v="1630943"/>
        <n v="698248"/>
        <n v="2270197"/>
        <n v="1548829"/>
        <n v="658320"/>
        <n v="1758446"/>
        <n v="2439059"/>
        <n v="2319474"/>
        <s v="Rp 2.370.047"/>
        <n v="2111371"/>
        <n v="388309"/>
        <n v="1327589"/>
        <n v="1932260"/>
        <n v="1268300"/>
        <n v="561343"/>
        <n v="427004"/>
        <n v="1492000"/>
        <n v="835502"/>
        <n v="763810"/>
        <n v="1413205"/>
        <n v="187270"/>
        <n v="2269581"/>
        <n v="1016658"/>
        <n v="1287935"/>
        <n v="839151"/>
        <n v="2142201"/>
        <n v="640329"/>
        <n v="967298"/>
        <n v="286125"/>
        <n v="2382037"/>
        <n v="145344"/>
        <n v="2422031"/>
        <n v="1164253"/>
        <n v="823661"/>
        <n v="1379262"/>
        <n v="2477794"/>
        <n v="1689751"/>
        <n v="642096"/>
        <n v="1736204"/>
        <n v="738103"/>
        <n v="457005"/>
        <n v="578328"/>
        <n v="126621"/>
        <n v="901818"/>
        <n v="886422"/>
        <n v="1704308"/>
        <n v="150310"/>
        <n v="2104877"/>
        <n v="360088"/>
        <s v="Rp 2.345.620"/>
        <n v="1471335"/>
        <n v="461287"/>
        <n v="720462"/>
        <n v="605191"/>
        <n v="1728472"/>
        <n v="1515869"/>
        <n v="1057640"/>
        <n v="1714653"/>
        <n v="649771"/>
        <n v="1038150"/>
        <n v="637845"/>
        <n v="760479"/>
        <n v="787704"/>
        <n v="1304320"/>
        <n v="696972"/>
        <n v="547600"/>
        <n v="2281891"/>
        <n v="1389572"/>
        <n v="1986961"/>
        <n v="516585"/>
        <n v="2374484"/>
        <n v="984990"/>
        <n v="839755"/>
        <n v="2177066"/>
        <n v="908838"/>
        <n v="1890059"/>
        <n v="720808"/>
        <n v="1446911"/>
        <n v="1826164"/>
        <n v="1701906"/>
        <n v="1302779"/>
        <n v="2350036"/>
        <n v="718401"/>
        <n v="887996"/>
        <n v="498077"/>
        <n v="1898316"/>
        <n v="1902490"/>
        <n v="1064006"/>
        <n v="594935"/>
        <s v="Rp 129.371"/>
        <n v="144709"/>
        <n v="545041"/>
        <n v="1169141"/>
        <n v="1962795"/>
        <n v="1774845"/>
        <n v="2427385"/>
        <n v="649000"/>
        <n v="1941705"/>
        <n v="602428"/>
        <n v="743802"/>
        <n v="1715314"/>
        <n v="1911273"/>
        <n v="122247"/>
        <n v="2180604"/>
        <n v="2338208"/>
        <n v="624802"/>
        <n v="967245"/>
        <n v="612532"/>
        <n v="1334906"/>
        <n v="2256068"/>
        <n v="157167"/>
        <n v="837683"/>
        <n v="1000688"/>
        <n v="1832714"/>
        <n v="2373971"/>
        <n v="1778693"/>
        <n v="896063"/>
        <n v="1773383"/>
        <n v="695841"/>
        <n v="1242632"/>
        <n v="2135050"/>
        <n v="551238"/>
        <n v="1736413"/>
        <n v="1302014"/>
        <n v="1524437"/>
        <n v="1668170"/>
        <n v="1993576"/>
        <n v="1598948"/>
        <n v="2204998"/>
        <n v="1039953"/>
        <s v="Rp 369.885"/>
        <n v="1061986"/>
        <n v="564637"/>
        <n v="443235"/>
        <n v="1534893"/>
        <n v="165581"/>
        <n v="1897001"/>
        <n v="1899315"/>
        <n v="566544"/>
        <n v="476680"/>
        <n v="1615894"/>
        <n v="543636"/>
        <n v="2062408"/>
        <n v="1541955"/>
        <n v="2206761"/>
        <n v="1359870"/>
        <n v="1974072"/>
        <n v="2269493"/>
        <n v="2472167"/>
        <n v="1583551"/>
        <n v="1936613"/>
        <n v="280567"/>
        <n v="1924010"/>
        <n v="1268842"/>
        <n v="507726"/>
        <n v="1607687"/>
        <n v="1447561"/>
        <n v="2009781"/>
        <n v="816678"/>
        <n v="2225897"/>
        <n v="595550"/>
        <n v="1954981"/>
        <n v="554845"/>
        <n v="1884295"/>
        <n v="1851973"/>
        <n v="1133152"/>
        <n v="1761492"/>
        <n v="2289617"/>
        <n v="1211484"/>
        <n v="2400327"/>
        <s v="Rp 1.050.108"/>
        <n v="217059"/>
        <n v="509135"/>
        <n v="440078"/>
        <n v="2499402"/>
        <n v="1187454"/>
        <n v="243721"/>
        <n v="2433146"/>
        <n v="1298946"/>
        <n v="1897283"/>
        <n v="389552"/>
        <n v="600876"/>
        <n v="1438911"/>
        <n v="2475691"/>
        <n v="1888948"/>
        <n v="2019118"/>
        <n v="1312716"/>
        <n v="1860966"/>
        <n v="2026654"/>
        <n v="701894"/>
        <n v="340163"/>
        <n v="834451"/>
        <n v="1128828"/>
        <n v="467264"/>
        <n v="1026537"/>
        <n v="2024306"/>
        <n v="908334"/>
        <n v="1128992"/>
        <n v="472601"/>
        <n v="326084"/>
        <n v="2190376"/>
        <n v="1236432"/>
        <n v="1245193"/>
        <n v="714893"/>
        <n v="2107387"/>
        <n v="2323138"/>
        <n v="2408894"/>
        <n v="2298139"/>
        <n v="1926572"/>
        <n v="853802"/>
        <s v="Rp 2.301.364"/>
        <n v="737112"/>
        <n v="185399"/>
        <n v="122691"/>
        <n v="1932152"/>
        <n v="1215807"/>
        <n v="2444834"/>
        <n v="1973468"/>
        <n v="236068"/>
        <n v="2398637"/>
        <n v="2050305"/>
        <n v="1509604"/>
        <n v="769175"/>
        <n v="761821"/>
        <n v="630914"/>
        <n v="210839"/>
        <n v="539512"/>
        <n v="1308758"/>
        <n v="704281"/>
        <n v="2322243"/>
        <n v="1390580"/>
        <n v="1479275"/>
        <n v="565520"/>
        <n v="379739"/>
        <n v="1467039"/>
        <n v="1319945"/>
        <n v="523517"/>
        <n v="2106979"/>
        <n v="447758"/>
        <n v="1335913"/>
        <n v="2217349"/>
        <n v="1214214"/>
        <n v="268319"/>
        <n v="556464"/>
        <n v="230535"/>
        <n v="1922370"/>
        <n v="1118958"/>
        <n v="651484"/>
        <n v="633283"/>
        <n v="1347603"/>
        <n v="973771"/>
        <s v="Rp 1.966.657"/>
        <n v="370484"/>
        <n v="893542"/>
        <n v="1028251"/>
        <n v="1325520"/>
        <n v="673114"/>
        <n v="1270371"/>
        <n v="869876"/>
        <n v="453643"/>
        <n v="653609"/>
        <n v="1966789"/>
        <n v="1104389"/>
        <n v="1864703"/>
        <n v="1691671"/>
        <n v="1007009"/>
        <n v="1718405"/>
        <n v="2319694"/>
        <n v="1088425"/>
        <n v="2374924"/>
        <n v="1833384"/>
        <n v="1224679"/>
        <n v="2279634"/>
        <n v="572027"/>
        <n v="684576"/>
        <n v="2022230"/>
        <n v="322534"/>
        <n v="720609"/>
        <n v="1314499"/>
        <n v="1288653"/>
        <n v="228117"/>
        <n v="623067"/>
        <n v="1052988"/>
        <n v="2306477"/>
        <n v="940734"/>
        <n v="133412"/>
        <n v="1104469"/>
        <n v="1765048"/>
        <n v="1902014"/>
        <n v="2171746"/>
        <n v="1452187"/>
        <s v="Rp 1.413.987"/>
        <n v="2383948"/>
        <n v="1638748"/>
        <n v="2439245"/>
        <n v="1307364"/>
        <n v="670264"/>
        <n v="1760492"/>
        <n v="970045"/>
        <n v="2356419"/>
        <n v="224404"/>
        <n v="470788"/>
        <n v="2315322"/>
        <n v="2491091"/>
        <n v="1469886"/>
        <n v="799867"/>
        <n v="2163437"/>
        <n v="2484792"/>
        <n v="1003392"/>
        <n v="871727"/>
        <n v="376304"/>
        <n v="1907468"/>
        <n v="759303"/>
        <n v="1282818"/>
        <n v="2114240"/>
        <n v="611977"/>
        <n v="1017158"/>
        <n v="1580374"/>
        <n v="870803"/>
        <n v="2228868"/>
        <n v="247617"/>
        <n v="862004"/>
        <n v="1283827"/>
        <n v="1866418"/>
        <n v="953338"/>
        <n v="2075603"/>
        <n v="898709"/>
        <n v="1410932"/>
        <n v="2489949"/>
        <n v="2174729"/>
        <n v="1737662"/>
        <n v="2232944"/>
        <s v="Rp 603.595"/>
        <n v="261976"/>
        <n v="540301"/>
        <n v="2246347"/>
        <n v="1380735"/>
        <n v="713330"/>
        <n v="1110625"/>
        <n v="2094681"/>
        <n v="1455284"/>
        <n v="232811"/>
        <n v="1084998"/>
        <n v="1315226"/>
        <n v="566402"/>
        <n v="2246388"/>
        <n v="606364"/>
        <n v="1898658"/>
        <n v="2028363"/>
        <n v="1535417"/>
        <n v="269380"/>
        <n v="2189680"/>
        <n v="1489811"/>
        <n v="1386620"/>
        <n v="1391718"/>
        <n v="1272539"/>
        <n v="988792"/>
        <n v="195803"/>
        <n v="2114823"/>
        <n v="833087"/>
        <n v="2341268"/>
        <n v="2489330"/>
        <n v="637971"/>
        <n v="1596498"/>
        <n v="2195480"/>
        <n v="842555"/>
        <n v="2231250"/>
        <n v="2099348"/>
        <n v="854888"/>
        <n v="1980816"/>
        <n v="148870"/>
        <n v="627435"/>
        <s v="Rp 1.965.685"/>
        <n v="1545369"/>
        <n v="1556309"/>
        <n v="1329764"/>
        <n v="1356814"/>
        <n v="1390691"/>
        <n v="773794"/>
        <n v="1713300"/>
        <n v="946035"/>
        <n v="1791393"/>
        <n v="886234"/>
        <n v="387046"/>
        <n v="426412"/>
        <n v="1378127"/>
        <n v="1827790"/>
        <n v="1164473"/>
        <n v="2093446"/>
        <n v="1092251"/>
        <n v="768429"/>
        <n v="1868643"/>
        <n v="1442659"/>
        <n v="706910"/>
        <n v="219316"/>
        <n v="568096"/>
        <n v="1692943"/>
        <n v="430331"/>
        <n v="1495069"/>
        <n v="1436848"/>
        <n v="954604"/>
        <n v="2183637"/>
        <n v="487967"/>
        <n v="1505921"/>
        <n v="1755558"/>
        <n v="960251"/>
        <n v="2357334"/>
        <n v="965997"/>
        <n v="226635"/>
        <n v="1715953"/>
        <n v="1623198"/>
        <n v="150432"/>
        <s v="Rp 1.381.203"/>
        <n v="1164373"/>
        <n v="1349285"/>
        <n v="801044"/>
        <n v="1510755"/>
        <n v="182656"/>
        <n v="123026"/>
        <n v="524323"/>
        <n v="1066032"/>
        <n v="1382939"/>
        <n v="729101"/>
        <n v="263084"/>
        <n v="2020831"/>
        <n v="2422256"/>
        <n v="2398844"/>
        <n v="1407778"/>
        <n v="1050536"/>
        <n v="1641090"/>
        <n v="1068992"/>
        <n v="1886909"/>
        <n v="400241"/>
        <n v="931058"/>
        <n v="717304"/>
        <n v="1958245"/>
        <n v="1191444"/>
        <n v="1640642"/>
        <n v="1175583"/>
        <n v="2196080"/>
        <n v="572136"/>
        <n v="287205"/>
        <n v="878068"/>
        <n v="1563049"/>
        <n v="2415449"/>
        <n v="1074501"/>
        <n v="1725144"/>
        <n v="916035"/>
        <n v="438495"/>
        <n v="1735814"/>
        <n v="1151394"/>
        <n v="1966986"/>
        <n v="2295046"/>
        <s v="Rp 1.648.884"/>
        <n v="2115388"/>
        <n v="343143"/>
        <n v="361364"/>
        <n v="2178605"/>
        <n v="1397841"/>
        <n v="342176"/>
        <n v="1163540"/>
        <n v="514941"/>
        <n v="887514"/>
        <n v="1070597"/>
        <n v="1685091"/>
        <n v="2482922"/>
        <n v="768737"/>
        <n v="1535144"/>
        <n v="1653829"/>
        <n v="501486"/>
        <n v="1998647"/>
        <n v="1468529"/>
        <n v="2396613"/>
        <n v="339929"/>
        <n v="898904"/>
        <n v="984151"/>
        <n v="307723"/>
        <n v="1263429"/>
        <n v="1778715"/>
        <n v="398922"/>
        <n v="1216807"/>
        <n v="269716"/>
        <n v="1675675"/>
        <n v="760514"/>
        <n v="386964"/>
        <n v="1327148"/>
        <n v="193240"/>
        <n v="134348"/>
        <n v="2118284"/>
        <n v="1567648"/>
        <n v="1749284"/>
        <n v="1072046"/>
        <n v="1644882"/>
        <s v="Rp 1.644.272"/>
        <n v="2017166"/>
        <n v="2290555"/>
        <n v="2482919"/>
        <n v="2161304"/>
        <n v="1510447"/>
        <n v="1993247"/>
        <n v="1838322"/>
        <n v="688742"/>
        <n v="2182620"/>
        <n v="746989"/>
        <n v="1872122"/>
        <n v="1121616"/>
        <n v="251591"/>
        <n v="270924"/>
        <n v="2436860"/>
        <n v="568998"/>
        <n v="1550823"/>
        <n v="701812"/>
        <n v="1742780"/>
        <n v="376969"/>
        <n v="437843"/>
        <n v="1172559"/>
        <n v="1563776"/>
        <n v="396315"/>
        <n v="1434808"/>
        <n v="2064579"/>
        <n v="746561"/>
        <n v="1761196"/>
        <n v="2160674"/>
        <n v="1475945"/>
        <n v="785226"/>
        <n v="657430"/>
        <n v="2117275"/>
        <n v="1114125"/>
        <n v="2179153"/>
        <n v="720135"/>
        <n v="1264028"/>
        <n v="1304707"/>
        <n v="240885"/>
        <s v="Rp 639.736"/>
        <n v="1478468"/>
        <n v="354290"/>
        <n v="1617706"/>
        <n v="770050"/>
        <n v="2459098"/>
        <n v="2219600"/>
        <n v="1860379"/>
        <n v="458175"/>
        <n v="1300349"/>
        <n v="1766819"/>
        <n v="567656"/>
        <n v="1083893"/>
        <n v="1749787"/>
        <n v="1162361"/>
        <n v="1719795"/>
        <n v="213929"/>
        <n v="247370"/>
        <n v="2482360"/>
        <n v="1933984"/>
        <n v="222395"/>
        <n v="318367"/>
        <n v="1574533"/>
        <n v="482578"/>
        <n v="728385"/>
        <n v="589258"/>
        <n v="2171769"/>
        <n v="1831269"/>
        <n v="1405788"/>
        <n v="627827"/>
        <n v="1379194"/>
        <n v="252196"/>
        <n v="1592431"/>
        <n v="514288"/>
        <n v="1842210"/>
        <n v="2489991"/>
        <n v="1350564"/>
        <n v="143876"/>
        <n v="2189264"/>
        <n v="2480431"/>
        <n v="565972"/>
        <s v="Rp 1.620.061"/>
        <n v="944252"/>
        <n v="1094119"/>
        <n v="1235213"/>
        <n v="2111285"/>
        <n v="2123570"/>
        <n v="299972"/>
        <n v="2130605"/>
        <n v="1935049"/>
        <n v="1552281"/>
        <n v="2469597"/>
        <n v="383965"/>
        <n v="1581770"/>
        <n v="1357383"/>
        <n v="1156106"/>
        <n v="2045517"/>
        <n v="912421"/>
        <n v="333880"/>
        <n v="348598"/>
        <n v="2496355"/>
        <n v="1238770"/>
        <n v="193151"/>
        <n v="1046829"/>
        <n v="1945332"/>
        <n v="1976095"/>
        <n v="1704038"/>
        <n v="1711503"/>
        <n v="1627938"/>
        <n v="1657609"/>
        <n v="497372"/>
        <n v="714056"/>
        <n v="857962"/>
        <n v="1248452"/>
        <n v="1485153"/>
        <n v="773931"/>
        <n v="1161088"/>
        <n v="1776821"/>
        <n v="2315594"/>
        <n v="604593"/>
        <n v="737276"/>
        <s v="Rp 1.961.408"/>
        <n v="730428"/>
        <n v="2433606"/>
        <n v="816025"/>
        <n v="1677204"/>
        <n v="2288444"/>
        <n v="1504758"/>
        <n v="1043743"/>
      </sharedItems>
    </cacheField>
    <cacheField name="Shipping Fee" numFmtId="0">
      <sharedItems containsSemiMixedTypes="0" containsString="0" containsNumber="1" containsInteger="1" minValue="0" maxValue="50000"/>
    </cacheField>
    <cacheField name="Delivery Status" numFmtId="0">
      <sharedItems/>
    </cacheField>
    <cacheField name="Satisfaction" numFmtId="0">
      <sharedItems containsBlank="1"/>
    </cacheField>
    <cacheField name="Used Promo" numFmtId="0">
      <sharedItems/>
    </cacheField>
    <cacheField name="Quality Check" numFmtId="0">
      <sharedItems count="15">
        <s v="Clean"/>
        <s v="Review Shipping Fee"/>
        <s v="Duplicate Order, Review Shipping Fee"/>
        <s v="Review Order Value"/>
        <s v="Review Status"/>
        <s v="Review Order Date, Review Shipping Fee"/>
        <s v="Review Satisfaction"/>
        <s v="Review Items Purchased"/>
        <s v="Review Items Purchased, Review Order Value"/>
        <s v="Review Order Date"/>
        <s v="Review Order Date, Review Items Purchased"/>
        <s v="Review Order Date, Review Order Value"/>
        <s v="Duplicate Order"/>
        <s v="Review Satisfaction, Review Shipping Fee"/>
        <s v="Review Order Value, Review Shipping Fe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x v="0"/>
    <s v="CUST-0238"/>
    <s v="Fajar Permata"/>
    <d v="2026-06-06T00:00:00"/>
    <x v="0"/>
    <s v="Bandung"/>
    <x v="0"/>
    <s v="Vip"/>
    <x v="0"/>
    <x v="0"/>
    <n v="4"/>
    <x v="0"/>
    <n v="15000"/>
    <s v="Delivered"/>
    <s v="Satisfied"/>
    <s v="No"/>
    <x v="0"/>
  </r>
  <r>
    <x v="1"/>
    <s v="CUST-0033"/>
    <s v="Rizky Permata"/>
    <d v="2026-01-09T00:00:00"/>
    <x v="1"/>
    <s v="Medan"/>
    <x v="1"/>
    <s v="Returning Customer"/>
    <x v="0"/>
    <x v="0"/>
    <n v="2"/>
    <x v="1"/>
    <n v="25000"/>
    <s v="Delivered"/>
    <s v="Satisfied"/>
    <s v="No"/>
    <x v="0"/>
  </r>
  <r>
    <x v="2"/>
    <s v="CUST-0155"/>
    <s v="Citra Putri"/>
    <d v="2026-02-10T00:00:00"/>
    <x v="2"/>
    <s v="Medan"/>
    <x v="1"/>
    <s v="Returning Customer"/>
    <x v="1"/>
    <x v="1"/>
    <n v="5"/>
    <x v="2"/>
    <n v="50000"/>
    <s v="Delayed"/>
    <s v="Dissatisfied"/>
    <s v="No"/>
    <x v="0"/>
  </r>
  <r>
    <x v="3"/>
    <s v="CUST-0072"/>
    <s v="Dimas Lestari"/>
    <d v="2026-01-04T00:00:00"/>
    <x v="1"/>
    <s v="Makassar"/>
    <x v="2"/>
    <s v="Returning Customer"/>
    <x v="1"/>
    <x v="2"/>
    <n v="2"/>
    <x v="3"/>
    <n v="15000"/>
    <s v="Delivered"/>
    <s v="Satisfied"/>
    <s v="No"/>
    <x v="0"/>
  </r>
  <r>
    <x v="4"/>
    <s v="CUST-0012"/>
    <s v="Sari Saputra"/>
    <d v="2026-01-11T00:00:00"/>
    <x v="1"/>
    <s v="Jakarta"/>
    <x v="3"/>
    <s v="Corporate"/>
    <x v="2"/>
    <x v="0"/>
    <n v="1"/>
    <x v="4"/>
    <n v="50000"/>
    <s v="Delivered"/>
    <s v="Satisfied"/>
    <s v="Yes"/>
    <x v="0"/>
  </r>
  <r>
    <x v="5"/>
    <s v="CUST-0143"/>
    <s v="Sari Wijaya"/>
    <d v="2026-01-04T00:00:00"/>
    <x v="1"/>
    <s v="Jakarta"/>
    <x v="3"/>
    <s v="New Customer"/>
    <x v="2"/>
    <x v="3"/>
    <n v="2"/>
    <x v="5"/>
    <n v="15000"/>
    <s v="Delivered"/>
    <s v="Very Satisfied"/>
    <s v="Yes"/>
    <x v="0"/>
  </r>
  <r>
    <x v="6"/>
    <s v="CUST-0181"/>
    <s v="Nadia Lestari"/>
    <d v="2026-04-28T00:00:00"/>
    <x v="3"/>
    <s v="Medan"/>
    <x v="1"/>
    <s v="Returning Customer"/>
    <x v="0"/>
    <x v="1"/>
    <n v="4"/>
    <x v="6"/>
    <n v="35000"/>
    <s v="Delivered"/>
    <s v="Neutral"/>
    <s v="Yes"/>
    <x v="0"/>
  </r>
  <r>
    <x v="7"/>
    <s v="CUST-0221"/>
    <s v="Alya Lestari"/>
    <d v="2026-06-10T00:00:00"/>
    <x v="0"/>
    <s v="Medan"/>
    <x v="1"/>
    <s v="Vip"/>
    <x v="3"/>
    <x v="4"/>
    <n v="6"/>
    <x v="7"/>
    <n v="35000"/>
    <s v="Delivered"/>
    <s v="Very Satisfied"/>
    <s v="Yes"/>
    <x v="0"/>
  </r>
  <r>
    <x v="8"/>
    <s v="CUST-0202"/>
    <s v="Citra Wijaya"/>
    <d v="2026-06-25T00:00:00"/>
    <x v="0"/>
    <s v="Surabaya"/>
    <x v="4"/>
    <s v="New Customer"/>
    <x v="4"/>
    <x v="1"/>
    <n v="3"/>
    <x v="8"/>
    <n v="50000"/>
    <s v="Delivered"/>
    <s v="Very Satisfied"/>
    <s v="No"/>
    <x v="0"/>
  </r>
  <r>
    <x v="9"/>
    <s v="CUST-0120"/>
    <s v="Fajar Pratama"/>
    <d v="2026-06-08T00:00:00"/>
    <x v="0"/>
    <s v="Jakarta"/>
    <x v="3"/>
    <s v="Returning Customer"/>
    <x v="5"/>
    <x v="3"/>
    <n v="3"/>
    <x v="9"/>
    <n v="25000"/>
    <s v="Delivered"/>
    <s v="Satisfied"/>
    <s v="Yes"/>
    <x v="0"/>
  </r>
  <r>
    <x v="10"/>
    <s v="CUST-0139"/>
    <s v="Maya Pratama"/>
    <d v="2026-01-30T00:00:00"/>
    <x v="1"/>
    <s v="Bandung"/>
    <x v="0"/>
    <s v="Vip"/>
    <x v="0"/>
    <x v="3"/>
    <n v="7"/>
    <x v="10"/>
    <n v="50000"/>
    <s v="Returned"/>
    <s v="Dissatisfied"/>
    <s v="No"/>
    <x v="0"/>
  </r>
  <r>
    <x v="11"/>
    <s v="CUST-0071"/>
    <s v="Fajar Dewi"/>
    <d v="2026-01-14T00:00:00"/>
    <x v="1"/>
    <s v="Jakarta"/>
    <x v="3"/>
    <s v="Corporate"/>
    <x v="3"/>
    <x v="4"/>
    <n v="3"/>
    <x v="11"/>
    <n v="25000"/>
    <s v="Delivered"/>
    <s v="Satisfied"/>
    <s v="No"/>
    <x v="0"/>
  </r>
  <r>
    <x v="12"/>
    <s v="CUST-0116"/>
    <s v="Nadia Lestari"/>
    <d v="2026-06-08T00:00:00"/>
    <x v="0"/>
    <s v="Bandung"/>
    <x v="0"/>
    <s v="Vip"/>
    <x v="4"/>
    <x v="2"/>
    <n v="2"/>
    <x v="12"/>
    <n v="0"/>
    <s v="Delayed"/>
    <s v="Satisfied"/>
    <s v="Yes"/>
    <x v="1"/>
  </r>
  <r>
    <x v="13"/>
    <s v="CUST-0071"/>
    <s v="Fajar Dewi"/>
    <d v="2026-01-29T00:00:00"/>
    <x v="1"/>
    <s v="Surabaya"/>
    <x v="4"/>
    <s v="Corporate"/>
    <x v="3"/>
    <x v="4"/>
    <n v="2"/>
    <x v="13"/>
    <n v="35000"/>
    <s v="Delayed"/>
    <s v="Neutral"/>
    <s v="Yes"/>
    <x v="0"/>
  </r>
  <r>
    <x v="14"/>
    <s v="CUST-0122"/>
    <s v="Citra Permata"/>
    <d v="2026-03-30T00:00:00"/>
    <x v="4"/>
    <s v="Jakarta"/>
    <x v="3"/>
    <s v="New Customer"/>
    <x v="5"/>
    <x v="4"/>
    <n v="6"/>
    <x v="14"/>
    <n v="35000"/>
    <s v="Delivered"/>
    <s v="Very Satisfied"/>
    <s v="No"/>
    <x v="0"/>
  </r>
  <r>
    <x v="15"/>
    <s v="CUST-0106"/>
    <s v="Rizky Dewi"/>
    <d v="2026-05-29T00:00:00"/>
    <x v="5"/>
    <s v="Makassar"/>
    <x v="2"/>
    <s v="Corporate"/>
    <x v="2"/>
    <x v="3"/>
    <n v="4"/>
    <x v="15"/>
    <n v="25000"/>
    <s v="Delivered"/>
    <s v="Satisfied"/>
    <s v="Yes"/>
    <x v="0"/>
  </r>
  <r>
    <x v="16"/>
    <s v="CUST-0230"/>
    <s v="Fajar Lestari"/>
    <d v="2026-03-20T00:00:00"/>
    <x v="4"/>
    <s v="Jakarta"/>
    <x v="3"/>
    <s v="Returning Customer"/>
    <x v="0"/>
    <x v="3"/>
    <n v="2"/>
    <x v="16"/>
    <n v="25000"/>
    <s v="Delivered"/>
    <s v="Dissatisfied"/>
    <s v="No"/>
    <x v="0"/>
  </r>
  <r>
    <x v="17"/>
    <s v="CUST-0043"/>
    <s v="Maya Permata"/>
    <d v="2026-06-08T00:00:00"/>
    <x v="0"/>
    <s v="Bandung"/>
    <x v="0"/>
    <s v="Returning Customer"/>
    <x v="5"/>
    <x v="2"/>
    <n v="3"/>
    <x v="17"/>
    <n v="50000"/>
    <s v="Delivered"/>
    <s v=" very satisfied "/>
    <s v="Yes"/>
    <x v="0"/>
  </r>
  <r>
    <x v="18"/>
    <s v="CUST-0082"/>
    <s v="Alya Wijaya"/>
    <d v="2026-05-28T00:00:00"/>
    <x v="5"/>
    <s v="Jakarta"/>
    <x v="3"/>
    <s v="Vip"/>
    <x v="0"/>
    <x v="0"/>
    <n v="3"/>
    <x v="18"/>
    <n v="35000"/>
    <s v="Delivered"/>
    <s v="Very Satisfied"/>
    <s v="No"/>
    <x v="0"/>
  </r>
  <r>
    <x v="19"/>
    <s v="CUST-0115"/>
    <s v="Alya Saputra"/>
    <d v="2026-05-19T00:00:00"/>
    <x v="5"/>
    <s v="Medan"/>
    <x v="1"/>
    <s v="Returning Customer"/>
    <x v="2"/>
    <x v="3"/>
    <n v="3"/>
    <x v="19"/>
    <n v="50000"/>
    <s v="Delivered"/>
    <s v="Very Satisfied"/>
    <s v="Yes"/>
    <x v="0"/>
  </r>
  <r>
    <x v="20"/>
    <s v="CUST-0002"/>
    <s v="Alya Lestari"/>
    <d v="2026-05-20T00:00:00"/>
    <x v="5"/>
    <s v="Surabaya"/>
    <x v="4"/>
    <s v="Returning Customer"/>
    <x v="1"/>
    <x v="1"/>
    <n v="6"/>
    <x v="20"/>
    <n v="25000"/>
    <s v="Delivered"/>
    <s v="Satisfied"/>
    <s v="No"/>
    <x v="0"/>
  </r>
  <r>
    <x v="21"/>
    <s v="CUST-0177"/>
    <s v="Rizky Santoso"/>
    <d v="2026-01-29T00:00:00"/>
    <x v="1"/>
    <s v="Jakarta"/>
    <x v="3"/>
    <s v="Corporate"/>
    <x v="1"/>
    <x v="0"/>
    <n v="2"/>
    <x v="21"/>
    <n v="0"/>
    <s v="Delivered"/>
    <s v="Very Satisfied"/>
    <s v="No"/>
    <x v="1"/>
  </r>
  <r>
    <x v="22"/>
    <s v="CUST-0092"/>
    <s v="Maya Lestari"/>
    <d v="2026-01-24T00:00:00"/>
    <x v="1"/>
    <s v="Bandung"/>
    <x v="0"/>
    <s v="Vip"/>
    <x v="5"/>
    <x v="2"/>
    <n v="5"/>
    <x v="22"/>
    <n v="0"/>
    <s v=" delivered "/>
    <s v="Satisfied"/>
    <s v="Yes"/>
    <x v="1"/>
  </r>
  <r>
    <x v="23"/>
    <s v="CUST-0138"/>
    <s v="Nadia Santoso"/>
    <d v="2026-04-25T00:00:00"/>
    <x v="3"/>
    <s v="Makassar"/>
    <x v="2"/>
    <s v="New Customer"/>
    <x v="3"/>
    <x v="3"/>
    <n v="4"/>
    <x v="23"/>
    <n v="50000"/>
    <s v="Delivered"/>
    <s v="Very Satisfied"/>
    <s v="No"/>
    <x v="0"/>
  </r>
  <r>
    <x v="24"/>
    <s v="CUST-0038"/>
    <s v="Dimas Permata"/>
    <d v="2026-04-20T00:00:00"/>
    <x v="3"/>
    <s v="Surabaya"/>
    <x v="4"/>
    <s v="Corporate"/>
    <x v="1"/>
    <x v="2"/>
    <n v="3"/>
    <x v="24"/>
    <n v="35000"/>
    <s v="Delivered"/>
    <s v="Very Satisfied"/>
    <s v="Yes"/>
    <x v="0"/>
  </r>
  <r>
    <x v="25"/>
    <s v="CUST-0187"/>
    <s v="Bima Wijaya"/>
    <d v="2026-04-24T00:00:00"/>
    <x v="3"/>
    <s v="Medan"/>
    <x v="1"/>
    <s v="Corporate"/>
    <x v="5"/>
    <x v="4"/>
    <n v="3"/>
    <x v="25"/>
    <n v="35000"/>
    <s v="Delivered"/>
    <s v="Satisfied"/>
    <s v="Yes"/>
    <x v="0"/>
  </r>
  <r>
    <x v="26"/>
    <s v="CUST-0037"/>
    <s v="Maya Santoso"/>
    <d v="2026-02-23T00:00:00"/>
    <x v="2"/>
    <s v="Makassar"/>
    <x v="2"/>
    <s v="Corporate"/>
    <x v="4"/>
    <x v="2"/>
    <n v="7"/>
    <x v="26"/>
    <n v="35000"/>
    <s v="Delivered"/>
    <s v="Very Satisfied"/>
    <s v="No"/>
    <x v="0"/>
  </r>
  <r>
    <x v="27"/>
    <s v="CUST-0164"/>
    <s v="Nadia Santoso"/>
    <d v="2026-03-11T00:00:00"/>
    <x v="4"/>
    <s v="Bandung"/>
    <x v="0"/>
    <s v="Returning Customer"/>
    <x v="5"/>
    <x v="1"/>
    <n v="5"/>
    <x v="27"/>
    <n v="15000"/>
    <s v="Delivered"/>
    <s v="Satisfied"/>
    <s v="No"/>
    <x v="0"/>
  </r>
  <r>
    <x v="28"/>
    <s v="CUST-0142"/>
    <s v="Rizky Lestari"/>
    <d v="2026-05-06T00:00:00"/>
    <x v="5"/>
    <s v="Medan"/>
    <x v="1"/>
    <s v="Returning Customer"/>
    <x v="4"/>
    <x v="2"/>
    <n v="7"/>
    <x v="28"/>
    <n v="25000"/>
    <s v="Delivered"/>
    <s v="Satisfied"/>
    <s v="Yes"/>
    <x v="0"/>
  </r>
  <r>
    <x v="29"/>
    <s v="CUST-0068"/>
    <s v="Citra Dewi"/>
    <d v="2026-03-18T00:00:00"/>
    <x v="4"/>
    <s v="Bandung"/>
    <x v="0"/>
    <s v="Corporate"/>
    <x v="3"/>
    <x v="0"/>
    <n v="6"/>
    <x v="29"/>
    <n v="0"/>
    <s v="Delivered"/>
    <s v="Very Satisfied"/>
    <s v="Yes"/>
    <x v="1"/>
  </r>
  <r>
    <x v="30"/>
    <s v="CUST-0031"/>
    <s v="Rizky Permata"/>
    <d v="2026-03-12T00:00:00"/>
    <x v="4"/>
    <s v="Makassar"/>
    <x v="2"/>
    <s v="Corporate"/>
    <x v="0"/>
    <x v="1"/>
    <n v="5"/>
    <x v="30"/>
    <n v="0"/>
    <s v="Delivered"/>
    <s v="Satisfied"/>
    <s v="Yes"/>
    <x v="2"/>
  </r>
  <r>
    <x v="31"/>
    <s v="CUST-0096"/>
    <s v="Alya Saputra"/>
    <d v="2026-05-12T00:00:00"/>
    <x v="5"/>
    <s v="Medan"/>
    <x v="1"/>
    <s v="Returning Customer"/>
    <x v="0"/>
    <x v="0"/>
    <n v="2"/>
    <x v="31"/>
    <n v="25000"/>
    <s v="Delivered"/>
    <s v="Very Satisfied"/>
    <s v="Yes"/>
    <x v="0"/>
  </r>
  <r>
    <x v="32"/>
    <s v="CUST-0070"/>
    <s v="Nadia Pratama"/>
    <d v="2026-04-03T00:00:00"/>
    <x v="3"/>
    <s v="Jakarta"/>
    <x v="3"/>
    <s v="Returning Customer"/>
    <x v="3"/>
    <x v="0"/>
    <n v="1"/>
    <x v="32"/>
    <n v="25000"/>
    <s v="Delivered"/>
    <s v="Satisfied"/>
    <s v="Yes"/>
    <x v="0"/>
  </r>
  <r>
    <x v="33"/>
    <s v="CUST-0154"/>
    <s v="Fajar Pratama"/>
    <d v="2026-02-12T00:00:00"/>
    <x v="2"/>
    <s v="Surabaya"/>
    <x v="4"/>
    <s v="Vip"/>
    <x v="3"/>
    <x v="3"/>
    <n v="7"/>
    <x v="33"/>
    <n v="25000"/>
    <s v="Delivered"/>
    <s v="Neutral"/>
    <s v="Yes"/>
    <x v="0"/>
  </r>
  <r>
    <x v="34"/>
    <s v="CUST-0137"/>
    <s v="Fajar Saputra"/>
    <d v="2026-05-29T00:00:00"/>
    <x v="5"/>
    <s v="Medan"/>
    <x v="1"/>
    <s v="Corporate"/>
    <x v="0"/>
    <x v="0"/>
    <n v="1"/>
    <x v="34"/>
    <n v="15000"/>
    <s v="Delivered"/>
    <s v="Very Satisfied"/>
    <s v="Yes"/>
    <x v="0"/>
  </r>
  <r>
    <x v="35"/>
    <s v="CUST-0056"/>
    <s v="Maya Santoso"/>
    <d v="2026-02-09T00:00:00"/>
    <x v="2"/>
    <s v="Makassar"/>
    <x v="2"/>
    <s v="New Customer"/>
    <x v="2"/>
    <x v="1"/>
    <n v="7"/>
    <x v="35"/>
    <n v="15000"/>
    <s v="Delivered"/>
    <s v="Neutral"/>
    <s v="Yes"/>
    <x v="0"/>
  </r>
  <r>
    <x v="36"/>
    <s v="CUST-0030"/>
    <s v="Alya Putri"/>
    <d v="2026-02-03T00:00:00"/>
    <x v="2"/>
    <s v="Medan"/>
    <x v="1"/>
    <s v="Vip"/>
    <x v="5"/>
    <x v="3"/>
    <n v="3"/>
    <x v="36"/>
    <n v="35000"/>
    <s v="Delivered"/>
    <s v="Satisfied"/>
    <s v="Yes"/>
    <x v="0"/>
  </r>
  <r>
    <x v="37"/>
    <s v="CUST-0191"/>
    <s v="Fajar Pratama"/>
    <d v="2026-01-31T00:00:00"/>
    <x v="1"/>
    <s v="Surabaya"/>
    <x v="4"/>
    <s v="Returning Customer"/>
    <x v="5"/>
    <x v="0"/>
    <n v="7"/>
    <x v="37"/>
    <n v="15000"/>
    <s v="Delivered"/>
    <s v="Satisfied"/>
    <s v="Yes"/>
    <x v="0"/>
  </r>
  <r>
    <x v="38"/>
    <s v="CUST-0109"/>
    <s v="Raka Wijaya"/>
    <d v="2026-06-26T00:00:00"/>
    <x v="0"/>
    <s v="Jakarta"/>
    <x v="3"/>
    <s v="Returning Customer"/>
    <x v="4"/>
    <x v="2"/>
    <n v="1"/>
    <x v="38"/>
    <n v="0"/>
    <s v="Delivered"/>
    <s v="Satisfied"/>
    <s v="Yes"/>
    <x v="1"/>
  </r>
  <r>
    <x v="39"/>
    <s v="CUST-0121"/>
    <s v="Rizky Saputra"/>
    <d v="2026-01-31T00:00:00"/>
    <x v="1"/>
    <s v="Jakarta"/>
    <x v="3"/>
    <s v="New Customer"/>
    <x v="1"/>
    <x v="0"/>
    <n v="1"/>
    <x v="39"/>
    <n v="0"/>
    <s v="Delivered"/>
    <s v="Very Satisfied"/>
    <s v="Yes"/>
    <x v="1"/>
  </r>
  <r>
    <x v="40"/>
    <s v="CUST-0048"/>
    <s v="Rizky Wijaya"/>
    <d v="2026-06-21T00:00:00"/>
    <x v="0"/>
    <s v="Surabaya"/>
    <x v="4"/>
    <s v="Vip"/>
    <x v="0"/>
    <x v="0"/>
    <n v="1"/>
    <x v="40"/>
    <n v="0"/>
    <s v="Delivered"/>
    <s v="Satisfied"/>
    <s v="Yes"/>
    <x v="1"/>
  </r>
  <r>
    <x v="41"/>
    <s v="CUST-0130"/>
    <s v="Fajar Putri"/>
    <d v="2026-05-26T00:00:00"/>
    <x v="5"/>
    <s v="Bandung"/>
    <x v="0"/>
    <s v="Returning Customer"/>
    <x v="0"/>
    <x v="0"/>
    <n v="7"/>
    <x v="41"/>
    <n v="0"/>
    <s v="Delivered"/>
    <s v="Very Satisfied"/>
    <s v="Yes"/>
    <x v="1"/>
  </r>
  <r>
    <x v="42"/>
    <s v="CUST-0186"/>
    <s v="Sari Santoso"/>
    <d v="2026-01-26T00:00:00"/>
    <x v="1"/>
    <s v="Makassar"/>
    <x v="2"/>
    <s v="Returning Customer"/>
    <x v="2"/>
    <x v="2"/>
    <n v="7"/>
    <x v="42"/>
    <n v="50000"/>
    <s v="Delivered"/>
    <s v="Satisfied"/>
    <s v="Yes"/>
    <x v="0"/>
  </r>
  <r>
    <x v="43"/>
    <s v="CUST-0214"/>
    <s v="Maya Pratama"/>
    <d v="2026-04-01T00:00:00"/>
    <x v="3"/>
    <s v="Surabaya"/>
    <x v="4"/>
    <s v="New Customer"/>
    <x v="2"/>
    <x v="2"/>
    <n v="2"/>
    <x v="43"/>
    <n v="35000"/>
    <s v="Delivered"/>
    <s v="Satisfied"/>
    <s v="Yes"/>
    <x v="0"/>
  </r>
  <r>
    <x v="44"/>
    <s v="CUST-0127"/>
    <s v="Bima Putri"/>
    <d v="2026-04-03T00:00:00"/>
    <x v="3"/>
    <s v="Jakarta"/>
    <x v="3"/>
    <s v="Corporate"/>
    <x v="0"/>
    <x v="1"/>
    <n v="6"/>
    <x v="44"/>
    <n v="50000"/>
    <s v="Delivered"/>
    <s v="Very Satisfied"/>
    <s v="No"/>
    <x v="0"/>
  </r>
  <r>
    <x v="45"/>
    <s v="CUST-0176"/>
    <s v="Rizky Dewi"/>
    <d v="2026-04-24T00:00:00"/>
    <x v="3"/>
    <s v="Bandung"/>
    <x v="0"/>
    <s v="New Customer"/>
    <x v="2"/>
    <x v="3"/>
    <n v="4"/>
    <x v="45"/>
    <n v="50000"/>
    <s v="Delivered"/>
    <s v="Neutral"/>
    <s v="Yes"/>
    <x v="0"/>
  </r>
  <r>
    <x v="46"/>
    <s v="CUST-0004"/>
    <s v="Alya Pratama"/>
    <d v="2026-06-22T00:00:00"/>
    <x v="0"/>
    <s v="Jakarta"/>
    <x v="3"/>
    <s v="New Customer"/>
    <x v="5"/>
    <x v="1"/>
    <n v="4"/>
    <x v="46"/>
    <n v="0"/>
    <s v="Delivered"/>
    <s v="Satisfied"/>
    <s v="No"/>
    <x v="1"/>
  </r>
  <r>
    <x v="47"/>
    <s v="CUST-0178"/>
    <s v="Bima Santoso"/>
    <d v="2026-06-01T00:00:00"/>
    <x v="0"/>
    <s v="Bandung"/>
    <x v="0"/>
    <s v="Corporate"/>
    <x v="4"/>
    <x v="0"/>
    <n v="1"/>
    <x v="47"/>
    <n v="15000"/>
    <s v="Delivered"/>
    <s v="Very Satisfied"/>
    <s v="No"/>
    <x v="0"/>
  </r>
  <r>
    <x v="48"/>
    <s v="CUST-0186"/>
    <s v="Sari Santoso"/>
    <d v="2026-05-08T00:00:00"/>
    <x v="5"/>
    <s v="Medan"/>
    <x v="1"/>
    <s v="Vip"/>
    <x v="2"/>
    <x v="4"/>
    <n v="5"/>
    <x v="48"/>
    <n v="50000"/>
    <s v="Delivered"/>
    <s v="Neutral"/>
    <s v="No"/>
    <x v="0"/>
  </r>
  <r>
    <x v="49"/>
    <s v="CUST-0125"/>
    <s v="Dimas Santoso"/>
    <d v="2026-05-11T00:00:00"/>
    <x v="5"/>
    <s v="Medan"/>
    <x v="1"/>
    <s v="Corporate"/>
    <x v="5"/>
    <x v="0"/>
    <n v="7"/>
    <x v="49"/>
    <n v="15000"/>
    <s v="Delivered"/>
    <s v="Very Satisfied"/>
    <s v="Yes"/>
    <x v="0"/>
  </r>
  <r>
    <x v="50"/>
    <s v="CUST-0026"/>
    <s v="Nadia Putri"/>
    <d v="2026-01-14T00:00:00"/>
    <x v="1"/>
    <s v="Makassar"/>
    <x v="2"/>
    <s v="Vip"/>
    <x v="5"/>
    <x v="3"/>
    <n v="6"/>
    <x v="50"/>
    <n v="35000"/>
    <s v="Delivered"/>
    <s v="Very Satisfied"/>
    <s v="Yes"/>
    <x v="0"/>
  </r>
  <r>
    <x v="51"/>
    <s v="CUST-0195"/>
    <s v="Citra Putri"/>
    <d v="2026-01-20T00:00:00"/>
    <x v="1"/>
    <s v="Medan"/>
    <x v="1"/>
    <s v="Corporate"/>
    <x v="1"/>
    <x v="3"/>
    <n v="7"/>
    <x v="51"/>
    <n v="35000"/>
    <s v="Delivered"/>
    <s v="Very Satisfied"/>
    <s v="No"/>
    <x v="0"/>
  </r>
  <r>
    <x v="52"/>
    <s v="CUST-0208"/>
    <s v="Raka Lestari"/>
    <d v="2026-05-19T00:00:00"/>
    <x v="5"/>
    <s v="Jakarta"/>
    <x v="3"/>
    <s v="Corporate"/>
    <x v="2"/>
    <x v="3"/>
    <n v="7"/>
    <x v="52"/>
    <n v="0"/>
    <s v="Delivered"/>
    <s v="Satisfied"/>
    <s v="No"/>
    <x v="1"/>
  </r>
  <r>
    <x v="53"/>
    <s v="CUST-0114"/>
    <s v="Bima Wijaya"/>
    <d v="2026-04-28T00:00:00"/>
    <x v="3"/>
    <s v="Surabaya"/>
    <x v="4"/>
    <s v="Returning Customer"/>
    <x v="2"/>
    <x v="1"/>
    <n v="2"/>
    <x v="53"/>
    <n v="0"/>
    <s v="Delivered"/>
    <s v="Neutral"/>
    <s v="Yes"/>
    <x v="1"/>
  </r>
  <r>
    <x v="54"/>
    <s v="CUST-0080"/>
    <s v="Fajar Wijaya"/>
    <d v="2026-10-04T00:00:00"/>
    <x v="6"/>
    <s v="Makassar"/>
    <x v="2"/>
    <s v="Corporate"/>
    <x v="2"/>
    <x v="4"/>
    <n v="5"/>
    <x v="54"/>
    <n v="0"/>
    <s v="Delivered"/>
    <s v="Satisfied"/>
    <s v="Yes"/>
    <x v="1"/>
  </r>
  <r>
    <x v="55"/>
    <s v="CUST-0130"/>
    <s v="Fajar Putri"/>
    <d v="2026-01-15T00:00:00"/>
    <x v="1"/>
    <s v="Surabaya"/>
    <x v="4"/>
    <s v="Vip"/>
    <x v="0"/>
    <x v="2"/>
    <n v="4"/>
    <x v="55"/>
    <n v="25000"/>
    <s v="Delivered"/>
    <s v="Satisfied"/>
    <s v="Yes"/>
    <x v="0"/>
  </r>
  <r>
    <x v="56"/>
    <s v="CUST-0152"/>
    <s v="Bima Lestari"/>
    <d v="2026-01-12T00:00:00"/>
    <x v="1"/>
    <s v="Surabaya"/>
    <x v="4"/>
    <s v="Corporate"/>
    <x v="4"/>
    <x v="1"/>
    <n v="3"/>
    <x v="56"/>
    <n v="25000"/>
    <s v="Delayed"/>
    <s v="Dissatisfied"/>
    <s v="No"/>
    <x v="0"/>
  </r>
  <r>
    <x v="57"/>
    <s v="CUST-0092"/>
    <s v="Maya Lestari"/>
    <d v="2026-04-16T00:00:00"/>
    <x v="3"/>
    <s v="Surabaya"/>
    <x v="4"/>
    <s v="New Customer"/>
    <x v="3"/>
    <x v="2"/>
    <n v="6"/>
    <x v="57"/>
    <n v="0"/>
    <s v="Delivered"/>
    <s v="Very Satisfied"/>
    <s v="No"/>
    <x v="1"/>
  </r>
  <r>
    <x v="58"/>
    <s v="CUST-0030"/>
    <s v="Alya Putri"/>
    <d v="2026-03-28T00:00:00"/>
    <x v="4"/>
    <s v="Medan"/>
    <x v="1"/>
    <s v="Corporate"/>
    <x v="0"/>
    <x v="2"/>
    <n v="5"/>
    <x v="58"/>
    <n v="0"/>
    <s v="Delivered"/>
    <s v="Satisfied"/>
    <s v="No"/>
    <x v="1"/>
  </r>
  <r>
    <x v="59"/>
    <s v="CUST-0151"/>
    <s v="Raka Saputra"/>
    <d v="2026-01-06T00:00:00"/>
    <x v="1"/>
    <s v="Medan"/>
    <x v="1"/>
    <s v="New Customer"/>
    <x v="3"/>
    <x v="0"/>
    <n v="5"/>
    <x v="59"/>
    <n v="35000"/>
    <s v="Delivered"/>
    <s v="Satisfied"/>
    <s v="No"/>
    <x v="3"/>
  </r>
  <r>
    <x v="60"/>
    <s v="CUST-0128"/>
    <s v="Bima Santoso"/>
    <d v="2026-05-09T00:00:00"/>
    <x v="5"/>
    <s v="Bandung"/>
    <x v="0"/>
    <s v="Corporate"/>
    <x v="3"/>
    <x v="2"/>
    <n v="5"/>
    <x v="60"/>
    <n v="15000"/>
    <s v="Delivered"/>
    <s v=" dissatisfied "/>
    <s v="Yes"/>
    <x v="0"/>
  </r>
  <r>
    <x v="61"/>
    <s v="CUST-0074"/>
    <s v="Bima Putri"/>
    <d v="2026-03-09T00:00:00"/>
    <x v="4"/>
    <s v="Jakarta"/>
    <x v="3"/>
    <s v="New Customer"/>
    <x v="1"/>
    <x v="3"/>
    <n v="5"/>
    <x v="61"/>
    <n v="25000"/>
    <s v="Delivered"/>
    <s v="Very Satisfied"/>
    <s v="No"/>
    <x v="0"/>
  </r>
  <r>
    <x v="62"/>
    <s v="CUST-0018"/>
    <s v="Citra Santoso"/>
    <d v="2026-05-26T00:00:00"/>
    <x v="5"/>
    <s v="Surabaya"/>
    <x v="4"/>
    <s v="Vip"/>
    <x v="2"/>
    <x v="4"/>
    <n v="4"/>
    <x v="62"/>
    <n v="35000"/>
    <s v="Delivered"/>
    <s v="Neutral"/>
    <s v="No"/>
    <x v="0"/>
  </r>
  <r>
    <x v="63"/>
    <s v="CUST-0052"/>
    <s v="Rizky Putri"/>
    <d v="2026-04-17T00:00:00"/>
    <x v="3"/>
    <s v="Makassar"/>
    <x v="2"/>
    <s v="Returning Customer"/>
    <x v="4"/>
    <x v="4"/>
    <n v="5"/>
    <x v="63"/>
    <n v="25000"/>
    <s v="Delivered"/>
    <s v="Satisfied"/>
    <s v="Yes"/>
    <x v="0"/>
  </r>
  <r>
    <x v="64"/>
    <s v="CUST-0148"/>
    <s v="Raka Pratama"/>
    <d v="2026-05-08T00:00:00"/>
    <x v="5"/>
    <s v="Makassar"/>
    <x v="2"/>
    <s v="Corporate"/>
    <x v="1"/>
    <x v="2"/>
    <n v="3"/>
    <x v="64"/>
    <n v="35000"/>
    <s v="Cancelled"/>
    <s v="Satisfied"/>
    <s v="Yes"/>
    <x v="4"/>
  </r>
  <r>
    <x v="65"/>
    <s v="CUST-0094"/>
    <s v="Maya Putri"/>
    <d v="2026-04-29T00:00:00"/>
    <x v="3"/>
    <s v="Medan"/>
    <x v="1"/>
    <s v="Corporate"/>
    <x v="0"/>
    <x v="2"/>
    <n v="2"/>
    <x v="65"/>
    <n v="15000"/>
    <s v=" delivered "/>
    <s v="Satisfied"/>
    <s v="Yes"/>
    <x v="0"/>
  </r>
  <r>
    <x v="66"/>
    <s v="CUST-0217"/>
    <s v="Dimas Santoso"/>
    <d v="2026-04-16T00:00:00"/>
    <x v="3"/>
    <s v="Bandung"/>
    <x v="0"/>
    <s v="Corporate"/>
    <x v="5"/>
    <x v="2"/>
    <n v="6"/>
    <x v="66"/>
    <n v="25000"/>
    <s v="Delivered"/>
    <s v="Satisfied"/>
    <s v="Yes"/>
    <x v="0"/>
  </r>
  <r>
    <x v="67"/>
    <s v="CUST-0050"/>
    <s v="Alya Permata"/>
    <d v="2026-01-08T00:00:00"/>
    <x v="1"/>
    <s v="Medan"/>
    <x v="1"/>
    <s v="New Customer"/>
    <x v="5"/>
    <x v="0"/>
    <n v="4"/>
    <x v="67"/>
    <n v="25000"/>
    <s v="Delivered"/>
    <s v="Dissatisfied"/>
    <s v="No"/>
    <x v="0"/>
  </r>
  <r>
    <x v="68"/>
    <s v="CUST-0035"/>
    <s v="Maya Wijaya"/>
    <d v="2026-01-08T00:00:00"/>
    <x v="1"/>
    <s v="Jakarta"/>
    <x v="3"/>
    <s v="Corporate"/>
    <x v="4"/>
    <x v="2"/>
    <n v="6"/>
    <x v="68"/>
    <n v="25000"/>
    <s v="Delivered"/>
    <s v="Satisfied"/>
    <s v="Yes"/>
    <x v="0"/>
  </r>
  <r>
    <x v="69"/>
    <s v="CUST-0081"/>
    <s v="Citra Saputra"/>
    <d v="2026-06-04T00:00:00"/>
    <x v="0"/>
    <s v="Medan"/>
    <x v="1"/>
    <s v="Returning Customer"/>
    <x v="5"/>
    <x v="2"/>
    <n v="4"/>
    <x v="69"/>
    <n v="0"/>
    <s v="Delayed"/>
    <s v="Dissatisfied"/>
    <s v="Yes"/>
    <x v="1"/>
  </r>
  <r>
    <x v="70"/>
    <s v="CUST-0134"/>
    <s v="Citra Lestari"/>
    <d v="2026-06-20T00:00:00"/>
    <x v="0"/>
    <s v="Surabaya"/>
    <x v="4"/>
    <s v="Vip"/>
    <x v="1"/>
    <x v="1"/>
    <n v="4"/>
    <x v="70"/>
    <n v="25000"/>
    <s v="Delayed"/>
    <s v="Satisfied"/>
    <s v="Yes"/>
    <x v="0"/>
  </r>
  <r>
    <x v="71"/>
    <s v="CUST-0240"/>
    <s v="Citra Pratama"/>
    <d v="2026-04-19T00:00:00"/>
    <x v="3"/>
    <s v="Medan"/>
    <x v="1"/>
    <s v="Corporate"/>
    <x v="0"/>
    <x v="4"/>
    <n v="1"/>
    <x v="71"/>
    <n v="15000"/>
    <s v="Delivered"/>
    <s v="Dissatisfied"/>
    <s v="Yes"/>
    <x v="0"/>
  </r>
  <r>
    <x v="72"/>
    <s v="cust-0126"/>
    <s v="Fajar Wijaya"/>
    <d v="2026-05-17T00:00:00"/>
    <x v="5"/>
    <s v="Bandung"/>
    <x v="0"/>
    <s v="Vip"/>
    <x v="5"/>
    <x v="3"/>
    <n v="3"/>
    <x v="72"/>
    <n v="0"/>
    <s v="Delivered"/>
    <s v="Satisfied"/>
    <s v="No"/>
    <x v="1"/>
  </r>
  <r>
    <x v="73"/>
    <s v="CUST-0184"/>
    <s v="Sari Pratama"/>
    <d v="2026-04-05T00:00:00"/>
    <x v="3"/>
    <s v="Jakarta"/>
    <x v="3"/>
    <s v="Returning Customer"/>
    <x v="0"/>
    <x v="4"/>
    <n v="6"/>
    <x v="73"/>
    <n v="0"/>
    <s v="Returned"/>
    <s v="Dissatisfied"/>
    <s v="No"/>
    <x v="1"/>
  </r>
  <r>
    <x v="74"/>
    <s v="CUST-0080"/>
    <s v="Fajar Wijaya"/>
    <d v="2026-06-13T00:00:00"/>
    <x v="0"/>
    <s v="Medan"/>
    <x v="1"/>
    <s v="Vip"/>
    <x v="0"/>
    <x v="2"/>
    <n v="5"/>
    <x v="74"/>
    <n v="0"/>
    <s v="Delayed"/>
    <s v="Neutral"/>
    <s v="Yes"/>
    <x v="1"/>
  </r>
  <r>
    <x v="75"/>
    <s v="CUST-0077"/>
    <s v="Raka Permata"/>
    <d v="2026-02-23T00:00:00"/>
    <x v="2"/>
    <s v="Medan"/>
    <x v="1"/>
    <s v="New Customer"/>
    <x v="0"/>
    <x v="2"/>
    <n v="6"/>
    <x v="75"/>
    <n v="35000"/>
    <s v="Delivered"/>
    <s v="Neutral"/>
    <s v="No"/>
    <x v="0"/>
  </r>
  <r>
    <x v="76"/>
    <s v="CUST-0121"/>
    <s v="Rizky Saputra"/>
    <d v="2026-04-16T00:00:00"/>
    <x v="3"/>
    <s v="Surabaya"/>
    <x v="4"/>
    <s v="New Customer"/>
    <x v="0"/>
    <x v="1"/>
    <n v="7"/>
    <x v="76"/>
    <n v="35000"/>
    <s v="Delivered"/>
    <s v="Very Satisfied"/>
    <s v="No"/>
    <x v="0"/>
  </r>
  <r>
    <x v="77"/>
    <s v="CUST-0117"/>
    <s v="Alya Wijaya"/>
    <d v="2026-06-27T00:00:00"/>
    <x v="0"/>
    <s v="Bandung"/>
    <x v="0"/>
    <s v="New Customer"/>
    <x v="2"/>
    <x v="0"/>
    <n v="6"/>
    <x v="77"/>
    <n v="0"/>
    <s v="Delivered"/>
    <s v="Satisfied"/>
    <s v="No"/>
    <x v="1"/>
  </r>
  <r>
    <x v="78"/>
    <s v="CUST-0081"/>
    <s v="Citra Saputra"/>
    <d v="1970-01-01T00:00:00"/>
    <x v="1"/>
    <s v="Bandung"/>
    <x v="0"/>
    <s v="Corporate"/>
    <x v="0"/>
    <x v="1"/>
    <n v="2"/>
    <x v="78"/>
    <n v="0"/>
    <s v="Delivered"/>
    <s v="Satisfied"/>
    <s v="No"/>
    <x v="5"/>
  </r>
  <r>
    <x v="79"/>
    <s v="CUST-0224"/>
    <s v="Sari Permata"/>
    <d v="2026-02-04T00:00:00"/>
    <x v="2"/>
    <s v="Surabaya"/>
    <x v="4"/>
    <s v="Returning Customer"/>
    <x v="4"/>
    <x v="1"/>
    <n v="6"/>
    <x v="79"/>
    <n v="15000"/>
    <s v="Delivered"/>
    <s v="Very Satisfied"/>
    <s v="No"/>
    <x v="0"/>
  </r>
  <r>
    <x v="80"/>
    <s v="CUST-0047"/>
    <s v="Citra Putri"/>
    <d v="2026-04-11T00:00:00"/>
    <x v="3"/>
    <s v="Makassar"/>
    <x v="2"/>
    <s v="Returning Customer"/>
    <x v="4"/>
    <x v="1"/>
    <n v="2"/>
    <x v="80"/>
    <n v="50000"/>
    <s v="Delivered"/>
    <s v="Very Satisfied"/>
    <s v="Yes"/>
    <x v="0"/>
  </r>
  <r>
    <x v="81"/>
    <s v="CUST-0068"/>
    <s v="Citra Dewi"/>
    <d v="2026-06-29T00:00:00"/>
    <x v="0"/>
    <s v="Bandung"/>
    <x v="0"/>
    <s v="New Customer"/>
    <x v="0"/>
    <x v="0"/>
    <n v="4"/>
    <x v="81"/>
    <n v="0"/>
    <s v="Delivered"/>
    <s v="Satisfied"/>
    <s v="Yes"/>
    <x v="1"/>
  </r>
  <r>
    <x v="82"/>
    <s v="CUST-0004"/>
    <s v="Alya Pratama"/>
    <d v="2026-05-15T00:00:00"/>
    <x v="5"/>
    <s v="Bandung"/>
    <x v="0"/>
    <s v="Returning Customer"/>
    <x v="0"/>
    <x v="3"/>
    <n v="7"/>
    <x v="82"/>
    <n v="35000"/>
    <s v="Delivered"/>
    <s v="Very Satisfied"/>
    <s v="No"/>
    <x v="0"/>
  </r>
  <r>
    <x v="83"/>
    <s v="CUST-0098"/>
    <s v="Fajar Lestari"/>
    <d v="2026-02-03T00:00:00"/>
    <x v="2"/>
    <s v="Bandung"/>
    <x v="0"/>
    <s v="Corporate"/>
    <x v="5"/>
    <x v="1"/>
    <n v="5"/>
    <x v="83"/>
    <n v="15000"/>
    <s v="Delivered"/>
    <s v="Neutral"/>
    <s v="Yes"/>
    <x v="0"/>
  </r>
  <r>
    <x v="84"/>
    <s v="CUST-0008"/>
    <s v="Nadia Pratama"/>
    <d v="2026-03-16T00:00:00"/>
    <x v="4"/>
    <s v="Makassar"/>
    <x v="2"/>
    <s v="Corporate"/>
    <x v="4"/>
    <x v="2"/>
    <n v="5"/>
    <x v="84"/>
    <n v="15000"/>
    <s v="Delivered"/>
    <s v="Very Satisfied"/>
    <s v="No"/>
    <x v="0"/>
  </r>
  <r>
    <x v="85"/>
    <s v="CUST-0035"/>
    <s v="Maya Wijaya"/>
    <d v="2026-03-24T00:00:00"/>
    <x v="4"/>
    <s v="Makassar"/>
    <x v="2"/>
    <s v="Vip"/>
    <x v="4"/>
    <x v="2"/>
    <n v="6"/>
    <x v="85"/>
    <n v="15000"/>
    <s v="Delivered"/>
    <s v="Satisfied"/>
    <s v="Yes"/>
    <x v="0"/>
  </r>
  <r>
    <x v="86"/>
    <s v="CUST-0014"/>
    <s v="Citra Dewi"/>
    <d v="2026-03-27T00:00:00"/>
    <x v="4"/>
    <s v="Makassar"/>
    <x v="2"/>
    <s v="New Customer"/>
    <x v="4"/>
    <x v="3"/>
    <n v="3"/>
    <x v="86"/>
    <n v="35000"/>
    <s v="Returned"/>
    <s v="Dissatisfied"/>
    <s v="No"/>
    <x v="0"/>
  </r>
  <r>
    <x v="87"/>
    <s v="CUST-0078"/>
    <s v="Maya Pratama"/>
    <d v="2026-04-12T00:00:00"/>
    <x v="3"/>
    <s v="Bandung"/>
    <x v="0"/>
    <s v="Corporate"/>
    <x v="0"/>
    <x v="1"/>
    <n v="5"/>
    <x v="87"/>
    <n v="15000"/>
    <s v="Delivered"/>
    <m/>
    <s v="Yes"/>
    <x v="6"/>
  </r>
  <r>
    <x v="88"/>
    <s v="CUST-0023"/>
    <s v="Maya Permata"/>
    <d v="2026-03-23T00:00:00"/>
    <x v="4"/>
    <s v="Bandung"/>
    <x v="0"/>
    <s v="Corporate"/>
    <x v="0"/>
    <x v="3"/>
    <n v="2"/>
    <x v="88"/>
    <n v="35000"/>
    <s v="Delivered"/>
    <s v="Very Satisfied"/>
    <s v="No"/>
    <x v="0"/>
  </r>
  <r>
    <x v="89"/>
    <s v="CUST-0073"/>
    <s v="Alya Wijaya"/>
    <d v="2026-03-09T00:00:00"/>
    <x v="4"/>
    <s v="Medan"/>
    <x v="1"/>
    <s v="Returning Customer"/>
    <x v="1"/>
    <x v="1"/>
    <n v="3"/>
    <x v="89"/>
    <n v="50000"/>
    <s v="Delivered"/>
    <s v="Very Satisfied"/>
    <s v="Yes"/>
    <x v="0"/>
  </r>
  <r>
    <x v="90"/>
    <s v="CUST-0049"/>
    <s v="Rizky Wijaya"/>
    <d v="2026-02-08T00:00:00"/>
    <x v="2"/>
    <s v="Medan"/>
    <x v="1"/>
    <s v="Corporate"/>
    <x v="4"/>
    <x v="1"/>
    <n v="2"/>
    <x v="90"/>
    <n v="15000"/>
    <s v="Delivered"/>
    <s v="Very Satisfied"/>
    <s v="Yes"/>
    <x v="0"/>
  </r>
  <r>
    <x v="91"/>
    <s v="CUST-0114"/>
    <s v="Bima Wijaya"/>
    <d v="2026-04-02T00:00:00"/>
    <x v="3"/>
    <s v="Bandung"/>
    <x v="0"/>
    <s v="New Customer"/>
    <x v="0"/>
    <x v="2"/>
    <n v="4"/>
    <x v="91"/>
    <n v="35000"/>
    <s v="Delivered"/>
    <s v="Neutral"/>
    <s v="Yes"/>
    <x v="0"/>
  </r>
  <r>
    <x v="92"/>
    <s v="CUST-0223"/>
    <s v="Nadia Wijaya"/>
    <d v="2026-03-14T00:00:00"/>
    <x v="4"/>
    <s v="Makassar"/>
    <x v="2"/>
    <s v="Returning Customer"/>
    <x v="1"/>
    <x v="2"/>
    <n v="6"/>
    <x v="92"/>
    <n v="15000"/>
    <s v="Delivered"/>
    <s v="Very Satisfied"/>
    <s v="Yes"/>
    <x v="0"/>
  </r>
  <r>
    <x v="93"/>
    <s v="CUST-0107"/>
    <s v="Nadia Dewi"/>
    <d v="2026-01-20T00:00:00"/>
    <x v="1"/>
    <s v="Surabaya"/>
    <x v="4"/>
    <s v="New Customer"/>
    <x v="2"/>
    <x v="3"/>
    <n v="6"/>
    <x v="93"/>
    <n v="35000"/>
    <s v="Delivered"/>
    <s v="Very Satisfied"/>
    <s v="Yes"/>
    <x v="0"/>
  </r>
  <r>
    <x v="94"/>
    <s v="CUST-0215"/>
    <s v="Fajar Pratama"/>
    <d v="2026-03-24T00:00:00"/>
    <x v="4"/>
    <s v="Medan"/>
    <x v="1"/>
    <s v="Corporate"/>
    <x v="3"/>
    <x v="3"/>
    <n v="1"/>
    <x v="94"/>
    <n v="0"/>
    <s v="Delivered"/>
    <s v="Satisfied"/>
    <s v="Yes"/>
    <x v="1"/>
  </r>
  <r>
    <x v="95"/>
    <s v="CUST-0085"/>
    <s v="Bima Lestari"/>
    <d v="2026-01-12T00:00:00"/>
    <x v="1"/>
    <s v="Bandung"/>
    <x v="0"/>
    <s v="Returning Customer"/>
    <x v="4"/>
    <x v="3"/>
    <n v="6"/>
    <x v="95"/>
    <n v="25000"/>
    <s v="Returned"/>
    <s v="Dissatisfied"/>
    <s v="No"/>
    <x v="0"/>
  </r>
  <r>
    <x v="96"/>
    <s v="CUST-0205"/>
    <s v="Citra Putri"/>
    <d v="2026-01-15T00:00:00"/>
    <x v="1"/>
    <s v="Bandung"/>
    <x v="0"/>
    <s v="Returning Customer"/>
    <x v="2"/>
    <x v="2"/>
    <m/>
    <x v="96"/>
    <n v="50000"/>
    <s v="Delivered"/>
    <s v="Satisfied"/>
    <s v="Yes"/>
    <x v="7"/>
  </r>
  <r>
    <x v="97"/>
    <s v="CUST-0219"/>
    <s v="Fajar Dewi"/>
    <d v="2026-02-23T00:00:00"/>
    <x v="2"/>
    <s v="Bandung"/>
    <x v="0"/>
    <s v="New Customer"/>
    <x v="0"/>
    <x v="1"/>
    <n v="7"/>
    <x v="97"/>
    <n v="35000"/>
    <s v="Delivered"/>
    <s v="Satisfied"/>
    <s v="No"/>
    <x v="0"/>
  </r>
  <r>
    <x v="98"/>
    <s v="CUST-0189"/>
    <s v="Citra Lestari"/>
    <d v="2026-03-21T00:00:00"/>
    <x v="4"/>
    <s v="Bandung"/>
    <x v="0"/>
    <s v="Corporate"/>
    <x v="2"/>
    <x v="1"/>
    <n v="6"/>
    <x v="98"/>
    <n v="25000"/>
    <s v="Delivered"/>
    <s v="Satisfied"/>
    <s v="No"/>
    <x v="0"/>
  </r>
  <r>
    <x v="99"/>
    <s v="CUST-0069"/>
    <s v="Fajar Saputra"/>
    <d v="2026-05-25T00:00:00"/>
    <x v="5"/>
    <s v="Bandung"/>
    <x v="0"/>
    <s v="Corporate"/>
    <x v="3"/>
    <x v="1"/>
    <n v="7"/>
    <x v="99"/>
    <n v="0"/>
    <s v="Delivered"/>
    <s v="Satisfied"/>
    <s v="Yes"/>
    <x v="1"/>
  </r>
  <r>
    <x v="100"/>
    <s v="CUST-0011"/>
    <s v="Maya Saputra"/>
    <d v="2026-05-12T00:00:00"/>
    <x v="5"/>
    <s v="Bandung"/>
    <x v="0"/>
    <s v="Corporate"/>
    <x v="1"/>
    <x v="4"/>
    <n v="6"/>
    <x v="100"/>
    <n v="35000"/>
    <s v="Delivered"/>
    <s v="Satisfied"/>
    <s v="Yes"/>
    <x v="0"/>
  </r>
  <r>
    <x v="101"/>
    <s v="CUST-0075"/>
    <s v="Citra Permata"/>
    <d v="2026-04-30T00:00:00"/>
    <x v="3"/>
    <s v="Bandung"/>
    <x v="0"/>
    <s v="Vip"/>
    <x v="5"/>
    <x v="4"/>
    <n v="7"/>
    <x v="101"/>
    <n v="0"/>
    <s v="Delivered"/>
    <s v="Very Satisfied"/>
    <s v="No"/>
    <x v="1"/>
  </r>
  <r>
    <x v="102"/>
    <s v="CUST-0076"/>
    <s v="Nadia Permata"/>
    <d v="2026-05-26T00:00:00"/>
    <x v="5"/>
    <s v="Makassar"/>
    <x v="2"/>
    <s v="Corporate"/>
    <x v="2"/>
    <x v="2"/>
    <n v="1"/>
    <x v="102"/>
    <n v="50000"/>
    <s v="Cancelled"/>
    <s v="Satisfied"/>
    <s v="No"/>
    <x v="4"/>
  </r>
  <r>
    <x v="103"/>
    <s v="CUST-0170"/>
    <s v="Alya Permata"/>
    <d v="2026-05-26T00:00:00"/>
    <x v="5"/>
    <s v="Jakarta"/>
    <x v="3"/>
    <s v="New Customer"/>
    <x v="3"/>
    <x v="1"/>
    <n v="3"/>
    <x v="103"/>
    <n v="25000"/>
    <s v="Delivered"/>
    <s v=" satisfied "/>
    <s v="Yes"/>
    <x v="0"/>
  </r>
  <r>
    <x v="104"/>
    <s v="CUST-0202"/>
    <s v="Citra Wijaya"/>
    <d v="2026-02-16T00:00:00"/>
    <x v="2"/>
    <s v="Surabaya"/>
    <x v="4"/>
    <s v="Corporate"/>
    <x v="3"/>
    <x v="1"/>
    <n v="1"/>
    <x v="104"/>
    <n v="0"/>
    <s v="Delivered"/>
    <s v="Satisfied"/>
    <s v="No"/>
    <x v="1"/>
  </r>
  <r>
    <x v="105"/>
    <s v="CUST-0088"/>
    <s v="Raka Santoso"/>
    <d v="2026-02-17T00:00:00"/>
    <x v="2"/>
    <s v="Jakarta"/>
    <x v="3"/>
    <s v="Corporate"/>
    <x v="1"/>
    <x v="2"/>
    <n v="1"/>
    <x v="105"/>
    <n v="15000"/>
    <s v="Delivered"/>
    <s v="Satisfied"/>
    <s v="Yes"/>
    <x v="0"/>
  </r>
  <r>
    <x v="106"/>
    <s v="CUST-0102"/>
    <s v="Rizky Santoso"/>
    <d v="2026-01-30T00:00:00"/>
    <x v="1"/>
    <s v="Makassar"/>
    <x v="2"/>
    <s v="Corporate"/>
    <x v="0"/>
    <x v="4"/>
    <n v="6"/>
    <x v="106"/>
    <n v="15000"/>
    <s v="Delivered"/>
    <s v="Satisfied"/>
    <s v="No"/>
    <x v="0"/>
  </r>
  <r>
    <x v="107"/>
    <s v="CUST-0177"/>
    <s v="Rizky Santoso"/>
    <d v="2026-06-22T00:00:00"/>
    <x v="0"/>
    <s v="Jakarta"/>
    <x v="3"/>
    <s v="New Customer"/>
    <x v="3"/>
    <x v="0"/>
    <n v="1"/>
    <x v="107"/>
    <n v="25000"/>
    <s v="Delivered"/>
    <s v="Very Satisfied"/>
    <s v="Yes"/>
    <x v="0"/>
  </r>
  <r>
    <x v="108"/>
    <s v="CUST-0054"/>
    <s v="Raka Permata"/>
    <d v="2026-05-04T00:00:00"/>
    <x v="5"/>
    <s v="Jkt"/>
    <x v="3"/>
    <s v="Vip"/>
    <x v="2"/>
    <x v="0"/>
    <n v="4"/>
    <x v="108"/>
    <n v="15000"/>
    <s v=" delayed "/>
    <s v="Neutral"/>
    <s v="No"/>
    <x v="0"/>
  </r>
  <r>
    <x v="109"/>
    <s v="CUST-0109"/>
    <s v="Raka Wijaya"/>
    <d v="2026-01-06T00:00:00"/>
    <x v="1"/>
    <s v="Medan"/>
    <x v="1"/>
    <s v="Corporate"/>
    <x v="4"/>
    <x v="1"/>
    <n v="2"/>
    <x v="109"/>
    <n v="15000"/>
    <s v="Delivered"/>
    <s v="Satisfied"/>
    <s v="Yes"/>
    <x v="0"/>
  </r>
  <r>
    <x v="110"/>
    <s v="CUST-0052"/>
    <s v="Rizky Putri"/>
    <d v="2026-03-17T00:00:00"/>
    <x v="4"/>
    <s v="Medan"/>
    <x v="1"/>
    <s v="Corporate"/>
    <x v="2"/>
    <x v="4"/>
    <n v="3"/>
    <x v="110"/>
    <n v="0"/>
    <s v="Delivered"/>
    <s v="Satisfied"/>
    <s v="No"/>
    <x v="1"/>
  </r>
  <r>
    <x v="111"/>
    <s v="CUST-0010"/>
    <s v="Citra Pratama"/>
    <d v="2026-05-05T00:00:00"/>
    <x v="5"/>
    <s v="Medan"/>
    <x v="1"/>
    <s v="Returning Customer"/>
    <x v="3"/>
    <x v="2"/>
    <n v="5"/>
    <x v="111"/>
    <n v="35000"/>
    <s v="Delivered"/>
    <s v="Satisfied"/>
    <s v="Yes"/>
    <x v="0"/>
  </r>
  <r>
    <x v="112"/>
    <s v="CUST-0109"/>
    <s v="Raka Wijaya"/>
    <d v="2026-05-28T00:00:00"/>
    <x v="5"/>
    <s v="Medan"/>
    <x v="1"/>
    <s v="New Customer"/>
    <x v="2"/>
    <x v="4"/>
    <n v="1"/>
    <x v="112"/>
    <n v="50000"/>
    <s v="Delivered"/>
    <s v="Satisfied"/>
    <s v="No"/>
    <x v="0"/>
  </r>
  <r>
    <x v="113"/>
    <s v="CUST-0115"/>
    <s v="Alya Saputra"/>
    <d v="1970-01-01T00:00:00"/>
    <x v="1"/>
    <s v="Surabaya"/>
    <x v="4"/>
    <s v="Corporate"/>
    <x v="5"/>
    <x v="4"/>
    <n v="2"/>
    <x v="113"/>
    <n v="0"/>
    <s v="Delivered"/>
    <s v="Very Satisfied"/>
    <s v="Yes"/>
    <x v="5"/>
  </r>
  <r>
    <x v="114"/>
    <s v="CUST-0151"/>
    <s v="Raka Saputra"/>
    <d v="2026-06-25T00:00:00"/>
    <x v="0"/>
    <s v="Surabaya"/>
    <x v="4"/>
    <s v="Corporate"/>
    <x v="2"/>
    <x v="3"/>
    <n v="7"/>
    <x v="114"/>
    <n v="50000"/>
    <s v="Delayed"/>
    <s v="Satisfied"/>
    <s v="No"/>
    <x v="0"/>
  </r>
  <r>
    <x v="115"/>
    <s v="CUST-0205"/>
    <s v="Citra Putri"/>
    <d v="2026-02-11T00:00:00"/>
    <x v="2"/>
    <s v="Bandung"/>
    <x v="0"/>
    <s v="Returning Customer"/>
    <x v="5"/>
    <x v="0"/>
    <n v="6"/>
    <x v="115"/>
    <n v="25000"/>
    <s v="Delivered"/>
    <s v="Satisfied"/>
    <s v="No"/>
    <x v="0"/>
  </r>
  <r>
    <x v="116"/>
    <s v="CUST-0026"/>
    <s v="Nadia Putri"/>
    <d v="2026-04-17T00:00:00"/>
    <x v="3"/>
    <s v="Jakarta"/>
    <x v="3"/>
    <s v="Vip"/>
    <x v="0"/>
    <x v="3"/>
    <n v="2"/>
    <x v="116"/>
    <n v="25000"/>
    <s v="Delivered"/>
    <s v="Very Satisfied"/>
    <s v="Yes"/>
    <x v="0"/>
  </r>
  <r>
    <x v="117"/>
    <s v="CUST-0045"/>
    <s v="Nadia Lestari"/>
    <d v="2026-05-09T00:00:00"/>
    <x v="5"/>
    <s v="Jakarta"/>
    <x v="3"/>
    <s v="Returning Customer"/>
    <x v="2"/>
    <x v="3"/>
    <n v="3"/>
    <x v="117"/>
    <n v="0"/>
    <s v="Delivered"/>
    <s v="Satisfied"/>
    <s v="No"/>
    <x v="1"/>
  </r>
  <r>
    <x v="118"/>
    <s v="CUST-0201"/>
    <s v="Citra Pratama"/>
    <d v="2026-04-01T00:00:00"/>
    <x v="3"/>
    <s v="Makassar"/>
    <x v="2"/>
    <s v="New Customer"/>
    <x v="3"/>
    <x v="2"/>
    <n v="3"/>
    <x v="118"/>
    <n v="50000"/>
    <s v="Delayed"/>
    <s v="Dissatisfied"/>
    <s v="No"/>
    <x v="0"/>
  </r>
  <r>
    <x v="119"/>
    <s v="CUST-0205"/>
    <s v="Citra Putri"/>
    <d v="2026-04-28T00:00:00"/>
    <x v="3"/>
    <s v="Jakarta"/>
    <x v="3"/>
    <s v="New Customer"/>
    <x v="1"/>
    <x v="2"/>
    <n v="7"/>
    <x v="119"/>
    <n v="0"/>
    <s v="Delivered"/>
    <s v="Neutral"/>
    <s v="Yes"/>
    <x v="1"/>
  </r>
  <r>
    <x v="120"/>
    <s v="CUST-0162"/>
    <s v="Sari Putri"/>
    <d v="2026-01-31T00:00:00"/>
    <x v="1"/>
    <s v="Makassar"/>
    <x v="2"/>
    <s v="Corporate"/>
    <x v="3"/>
    <x v="2"/>
    <n v="2"/>
    <x v="120"/>
    <n v="25000"/>
    <s v="Delivered"/>
    <s v="Satisfied"/>
    <s v="Yes"/>
    <x v="0"/>
  </r>
  <r>
    <x v="121"/>
    <s v="CUST-0166"/>
    <s v="Maya Dewi"/>
    <d v="2026-04-04T00:00:00"/>
    <x v="3"/>
    <s v="Jakarta"/>
    <x v="3"/>
    <s v="Returning Customer"/>
    <x v="2"/>
    <x v="3"/>
    <n v="1"/>
    <x v="121"/>
    <n v="15000"/>
    <s v="Delayed"/>
    <s v="Neutral"/>
    <s v="No"/>
    <x v="0"/>
  </r>
  <r>
    <x v="122"/>
    <s v="CUST-0130"/>
    <s v="Fajar Putri"/>
    <d v="2026-02-13T00:00:00"/>
    <x v="2"/>
    <s v="Bandung"/>
    <x v="0"/>
    <s v="Returning Customer"/>
    <x v="1"/>
    <x v="1"/>
    <n v="3"/>
    <x v="122"/>
    <n v="25000"/>
    <s v="Delivered"/>
    <s v="Satisfied"/>
    <s v="Yes"/>
    <x v="0"/>
  </r>
  <r>
    <x v="123"/>
    <s v="CUST-0036"/>
    <s v="Fajar Santoso"/>
    <d v="2026-04-20T00:00:00"/>
    <x v="3"/>
    <s v="Jakarta"/>
    <x v="3"/>
    <s v="Corporate"/>
    <x v="5"/>
    <x v="2"/>
    <n v="4"/>
    <x v="123"/>
    <n v="35000"/>
    <s v="Returned"/>
    <s v="Neutral"/>
    <s v="Yes"/>
    <x v="0"/>
  </r>
  <r>
    <x v="124"/>
    <s v="CUST-0022"/>
    <s v="Fajar Saputra"/>
    <d v="2026-03-28T00:00:00"/>
    <x v="4"/>
    <s v="Jakarta"/>
    <x v="3"/>
    <s v="Returning Customer"/>
    <x v="1"/>
    <x v="2"/>
    <n v="7"/>
    <x v="124"/>
    <n v="35000"/>
    <s v="Delivered"/>
    <s v="Very Satisfied"/>
    <s v="No"/>
    <x v="0"/>
  </r>
  <r>
    <x v="125"/>
    <s v="CUST-0108"/>
    <s v="Bima Dewi"/>
    <d v="2026-04-13T00:00:00"/>
    <x v="3"/>
    <s v="Jakarta"/>
    <x v="3"/>
    <s v="Vip"/>
    <x v="1"/>
    <x v="4"/>
    <n v="6"/>
    <x v="125"/>
    <n v="25000"/>
    <s v="Delivered"/>
    <s v="Neutral"/>
    <s v="Yes"/>
    <x v="0"/>
  </r>
  <r>
    <x v="126"/>
    <s v="CUST-0180"/>
    <s v="Bima Pratama"/>
    <d v="2026-04-14T00:00:00"/>
    <x v="3"/>
    <s v="Medan"/>
    <x v="1"/>
    <s v="Vip"/>
    <x v="3"/>
    <x v="1"/>
    <n v="5"/>
    <x v="59"/>
    <n v="15000"/>
    <s v="Delivered"/>
    <s v="Satisfied"/>
    <s v="Yes"/>
    <x v="3"/>
  </r>
  <r>
    <x v="127"/>
    <s v="CUST-0226"/>
    <s v="Alya Dewi"/>
    <d v="2026-03-19T00:00:00"/>
    <x v="4"/>
    <s v="Bandung"/>
    <x v="0"/>
    <s v="Vip"/>
    <x v="5"/>
    <x v="2"/>
    <n v="5"/>
    <x v="126"/>
    <n v="0"/>
    <s v="Delivered"/>
    <s v="Satisfied"/>
    <s v="No"/>
    <x v="1"/>
  </r>
  <r>
    <x v="128"/>
    <s v="CUST-0134"/>
    <s v="Citra Lestari"/>
    <d v="2026-03-29T00:00:00"/>
    <x v="4"/>
    <s v="Surabaya"/>
    <x v="4"/>
    <s v="Corporate"/>
    <x v="1"/>
    <x v="2"/>
    <n v="1"/>
    <x v="127"/>
    <n v="0"/>
    <s v="Delayed"/>
    <s v="Satisfied"/>
    <s v="Yes"/>
    <x v="1"/>
  </r>
  <r>
    <x v="129"/>
    <s v="CUST-0216"/>
    <s v="Raka Putri"/>
    <d v="2026-04-06T00:00:00"/>
    <x v="3"/>
    <s v="Jakarta"/>
    <x v="3"/>
    <s v="Corporate"/>
    <x v="0"/>
    <x v="4"/>
    <n v="3"/>
    <x v="128"/>
    <n v="50000"/>
    <s v="Delivered"/>
    <s v="Satisfied"/>
    <s v="Yes"/>
    <x v="0"/>
  </r>
  <r>
    <x v="130"/>
    <s v="CUST-0117"/>
    <s v="Alya Wijaya"/>
    <d v="2026-03-28T00:00:00"/>
    <x v="4"/>
    <s v="Makassar"/>
    <x v="2"/>
    <s v="Returning Customer"/>
    <x v="0"/>
    <x v="3"/>
    <n v="5"/>
    <x v="129"/>
    <n v="50000"/>
    <s v="Delivered"/>
    <s v="Dissatisfied"/>
    <s v="No"/>
    <x v="0"/>
  </r>
  <r>
    <x v="131"/>
    <s v="CUST-0171"/>
    <s v="Rizky Putri"/>
    <d v="2026-05-27T00:00:00"/>
    <x v="5"/>
    <s v="Makassar"/>
    <x v="2"/>
    <s v="Returning Customer"/>
    <x v="0"/>
    <x v="1"/>
    <n v="5"/>
    <x v="130"/>
    <n v="35000"/>
    <s v="Delivered"/>
    <s v="Very Satisfied"/>
    <s v="Yes"/>
    <x v="0"/>
  </r>
  <r>
    <x v="132"/>
    <s v="CUST-0038"/>
    <s v="Dimas Permata"/>
    <d v="2026-04-19T00:00:00"/>
    <x v="3"/>
    <s v="Medan"/>
    <x v="1"/>
    <s v="Returning Customer"/>
    <x v="2"/>
    <x v="2"/>
    <n v="1"/>
    <x v="131"/>
    <n v="0"/>
    <s v="Delivered"/>
    <s v="Neutral"/>
    <s v="No"/>
    <x v="1"/>
  </r>
  <r>
    <x v="133"/>
    <s v="CUST-0174"/>
    <s v="Alya Wijaya"/>
    <d v="2026-05-15T00:00:00"/>
    <x v="5"/>
    <s v="Surabaya"/>
    <x v="4"/>
    <s v="Corporate"/>
    <x v="3"/>
    <x v="1"/>
    <n v="5"/>
    <x v="132"/>
    <n v="50000"/>
    <s v="Delivered"/>
    <s v="Satisfied"/>
    <s v="No"/>
    <x v="0"/>
  </r>
  <r>
    <x v="134"/>
    <s v="CUST-0177"/>
    <s v="Rizky Santoso"/>
    <d v="2026-05-06T00:00:00"/>
    <x v="5"/>
    <s v="Medan"/>
    <x v="1"/>
    <s v="Returning Customer"/>
    <x v="3"/>
    <x v="4"/>
    <n v="2"/>
    <x v="133"/>
    <n v="15000"/>
    <s v="Delivered"/>
    <s v="Satisfied"/>
    <s v="Yes"/>
    <x v="0"/>
  </r>
  <r>
    <x v="135"/>
    <s v="CUST-0178"/>
    <s v="Bima Santoso"/>
    <d v="2026-02-24T00:00:00"/>
    <x v="2"/>
    <s v="Surabaya"/>
    <x v="4"/>
    <s v="New Customer"/>
    <x v="1"/>
    <x v="1"/>
    <n v="1"/>
    <x v="134"/>
    <n v="35000"/>
    <s v="Delivered"/>
    <s v="Dissatisfied"/>
    <s v="Yes"/>
    <x v="0"/>
  </r>
  <r>
    <x v="136"/>
    <s v="CUST-0031"/>
    <s v="Rizky Permata"/>
    <d v="2026-04-05T00:00:00"/>
    <x v="3"/>
    <s v="Surabaya"/>
    <x v="4"/>
    <s v="Vip"/>
    <x v="0"/>
    <x v="1"/>
    <n v="5"/>
    <x v="135"/>
    <n v="0"/>
    <s v="Delivered"/>
    <s v="Satisfied"/>
    <s v="Yes"/>
    <x v="1"/>
  </r>
  <r>
    <x v="137"/>
    <s v="CUST-0203"/>
    <s v="Maya Permata"/>
    <d v="2026-02-06T00:00:00"/>
    <x v="2"/>
    <s v="Surabaya"/>
    <x v="4"/>
    <s v="Returning Customer"/>
    <x v="5"/>
    <x v="1"/>
    <n v="4"/>
    <x v="136"/>
    <n v="50000"/>
    <s v="Delivered"/>
    <s v="Neutral"/>
    <s v="Yes"/>
    <x v="0"/>
  </r>
  <r>
    <x v="138"/>
    <s v="CUST-0032"/>
    <s v="Sari Santoso"/>
    <d v="2026-05-21T00:00:00"/>
    <x v="5"/>
    <s v="Surabaya"/>
    <x v="4"/>
    <s v="Corporate"/>
    <x v="0"/>
    <x v="1"/>
    <n v="7"/>
    <x v="137"/>
    <n v="0"/>
    <s v="Delivered"/>
    <s v="Satisfied"/>
    <s v="No"/>
    <x v="1"/>
  </r>
  <r>
    <x v="139"/>
    <s v="CUST-0214"/>
    <s v="Maya Pratama"/>
    <d v="2026-06-05T00:00:00"/>
    <x v="0"/>
    <s v="Medan"/>
    <x v="1"/>
    <s v="Returning Customer"/>
    <x v="3"/>
    <x v="3"/>
    <n v="5"/>
    <x v="138"/>
    <n v="15000"/>
    <s v="Delivered"/>
    <s v="Satisfied"/>
    <s v="Yes"/>
    <x v="0"/>
  </r>
  <r>
    <x v="140"/>
    <s v="CUST-0205"/>
    <s v="Citra Putri"/>
    <d v="2026-06-09T00:00:00"/>
    <x v="0"/>
    <s v="Jakarta"/>
    <x v="3"/>
    <s v="Corporate"/>
    <x v="3"/>
    <x v="3"/>
    <n v="2"/>
    <x v="139"/>
    <n v="35000"/>
    <s v="Cancelled"/>
    <s v="Very Satisfied"/>
    <s v="Yes"/>
    <x v="4"/>
  </r>
  <r>
    <x v="141"/>
    <s v="CUST-0222"/>
    <s v="Raka Pratama"/>
    <d v="2026-02-12T00:00:00"/>
    <x v="2"/>
    <s v="Jakarta"/>
    <x v="3"/>
    <s v="New Customer"/>
    <x v="5"/>
    <x v="4"/>
    <n v="6"/>
    <x v="140"/>
    <n v="50000"/>
    <s v="Delayed"/>
    <s v="Neutral"/>
    <s v="Yes"/>
    <x v="0"/>
  </r>
  <r>
    <x v="142"/>
    <s v="CUST-0146"/>
    <s v="Maya Lestari"/>
    <d v="2026-05-14T00:00:00"/>
    <x v="5"/>
    <s v="Bandung"/>
    <x v="0"/>
    <s v="New Customer"/>
    <x v="0"/>
    <x v="0"/>
    <n v="5"/>
    <x v="141"/>
    <n v="35000"/>
    <s v="Delayed"/>
    <s v="Dissatisfied"/>
    <s v="Yes"/>
    <x v="0"/>
  </r>
  <r>
    <x v="143"/>
    <s v="CUST-0213"/>
    <s v="Rizky Lestari"/>
    <d v="2026-06-30T00:00:00"/>
    <x v="0"/>
    <s v="Makassar"/>
    <x v="2"/>
    <s v="New Customer"/>
    <x v="2"/>
    <x v="2"/>
    <n v="7"/>
    <x v="142"/>
    <n v="0"/>
    <s v="Delivered"/>
    <s v="Very Satisfied"/>
    <s v="No"/>
    <x v="1"/>
  </r>
  <r>
    <x v="144"/>
    <s v="CUST-0112"/>
    <s v="Nadia Lestari"/>
    <d v="2026-02-16T00:00:00"/>
    <x v="2"/>
    <s v="Jakarta"/>
    <x v="3"/>
    <s v="New Customer"/>
    <x v="4"/>
    <x v="4"/>
    <n v="7"/>
    <x v="143"/>
    <n v="0"/>
    <s v="Delivered"/>
    <s v="Satisfied"/>
    <s v="Yes"/>
    <x v="1"/>
  </r>
  <r>
    <x v="145"/>
    <s v="cust-0074"/>
    <s v="Bima Putri"/>
    <d v="2026-02-06T00:00:00"/>
    <x v="2"/>
    <s v="Medan"/>
    <x v="1"/>
    <s v="Returning Customer"/>
    <x v="4"/>
    <x v="4"/>
    <n v="7"/>
    <x v="144"/>
    <n v="25000"/>
    <s v="Delivered"/>
    <s v="Very Satisfied"/>
    <s v="No"/>
    <x v="0"/>
  </r>
  <r>
    <x v="146"/>
    <s v="CUST-0047"/>
    <s v="Citra Putri"/>
    <d v="2026-01-07T00:00:00"/>
    <x v="1"/>
    <s v="Surabaya"/>
    <x v="4"/>
    <s v="Vip"/>
    <x v="2"/>
    <x v="2"/>
    <n v="4"/>
    <x v="145"/>
    <n v="25000"/>
    <s v="Delivered"/>
    <s v=" very satisfied "/>
    <s v="Yes"/>
    <x v="0"/>
  </r>
  <r>
    <x v="147"/>
    <s v="CUST-0052"/>
    <s v="Rizky Putri"/>
    <d v="2026-03-03T00:00:00"/>
    <x v="4"/>
    <s v="Jakarta"/>
    <x v="3"/>
    <s v="Vip"/>
    <x v="4"/>
    <x v="3"/>
    <n v="5"/>
    <x v="146"/>
    <n v="35000"/>
    <s v="Delivered"/>
    <s v="Satisfied"/>
    <s v="No"/>
    <x v="0"/>
  </r>
  <r>
    <x v="148"/>
    <s v="CUST-0142"/>
    <s v="Rizky Lestari"/>
    <d v="2026-04-15T00:00:00"/>
    <x v="3"/>
    <s v="Jakarta"/>
    <x v="3"/>
    <s v="Vip"/>
    <x v="1"/>
    <x v="4"/>
    <n v="1"/>
    <x v="147"/>
    <n v="35000"/>
    <s v="Delivered"/>
    <s v="Very Satisfied"/>
    <s v="Yes"/>
    <x v="0"/>
  </r>
  <r>
    <x v="149"/>
    <s v="CUST-0064"/>
    <s v="Citra Wijaya"/>
    <d v="2026-05-23T00:00:00"/>
    <x v="5"/>
    <s v="Makassar"/>
    <x v="2"/>
    <s v="Returning Customer"/>
    <x v="5"/>
    <x v="3"/>
    <n v="5"/>
    <x v="148"/>
    <n v="25000"/>
    <s v="Delivered"/>
    <s v="Very Satisfied"/>
    <s v="Yes"/>
    <x v="0"/>
  </r>
  <r>
    <x v="150"/>
    <s v="CUST-0201"/>
    <s v="Citra Pratama"/>
    <d v="2026-03-04T00:00:00"/>
    <x v="4"/>
    <s v="Medan"/>
    <x v="1"/>
    <s v="Vip"/>
    <x v="3"/>
    <x v="0"/>
    <n v="5"/>
    <x v="149"/>
    <n v="35000"/>
    <s v="Delivered"/>
    <s v="Very Satisfied"/>
    <s v="Yes"/>
    <x v="0"/>
  </r>
  <r>
    <x v="151"/>
    <s v="CUST-0016"/>
    <s v="Alya Dewi"/>
    <d v="2026-05-04T00:00:00"/>
    <x v="5"/>
    <s v="Bandung"/>
    <x v="0"/>
    <s v="Vip"/>
    <x v="4"/>
    <x v="0"/>
    <n v="3"/>
    <x v="150"/>
    <n v="50000"/>
    <s v=" delayed "/>
    <s v="Neutral"/>
    <s v="Yes"/>
    <x v="0"/>
  </r>
  <r>
    <x v="152"/>
    <s v="CUST-0077"/>
    <s v="Raka Permata"/>
    <d v="2026-01-23T00:00:00"/>
    <x v="1"/>
    <s v="Surabaya"/>
    <x v="4"/>
    <s v="Corporate"/>
    <x v="5"/>
    <x v="4"/>
    <n v="7"/>
    <x v="151"/>
    <n v="0"/>
    <s v="Delivered"/>
    <s v="Satisfied"/>
    <s v="No"/>
    <x v="1"/>
  </r>
  <r>
    <x v="153"/>
    <s v="CUST-0227"/>
    <s v="Citra Putri"/>
    <d v="2026-06-24T00:00:00"/>
    <x v="0"/>
    <s v="Surabaya"/>
    <x v="4"/>
    <s v="Vip"/>
    <x v="5"/>
    <x v="1"/>
    <n v="7"/>
    <x v="152"/>
    <n v="25000"/>
    <s v="Delivered"/>
    <s v="Very Satisfied"/>
    <s v="No"/>
    <x v="0"/>
  </r>
  <r>
    <x v="154"/>
    <s v="CUST-0005"/>
    <s v="Nadia Saputra"/>
    <d v="2026-06-27T00:00:00"/>
    <x v="0"/>
    <s v="Bandung"/>
    <x v="0"/>
    <s v="Corporate"/>
    <x v="1"/>
    <x v="1"/>
    <n v="5"/>
    <x v="153"/>
    <n v="0"/>
    <s v="Delivered"/>
    <s v="Neutral"/>
    <s v="No"/>
    <x v="1"/>
  </r>
  <r>
    <x v="155"/>
    <s v="CUST-0138"/>
    <s v="Nadia Santoso"/>
    <d v="2026-01-21T00:00:00"/>
    <x v="1"/>
    <s v="Jakarta"/>
    <x v="3"/>
    <s v="Vip"/>
    <x v="2"/>
    <x v="4"/>
    <n v="1"/>
    <x v="154"/>
    <n v="50000"/>
    <s v="Delayed"/>
    <s v="Neutral"/>
    <s v="No"/>
    <x v="0"/>
  </r>
  <r>
    <x v="156"/>
    <s v="CUST-0100"/>
    <s v="Raka Pratama"/>
    <d v="2026-02-15T00:00:00"/>
    <x v="2"/>
    <s v="Jakarta"/>
    <x v="3"/>
    <s v="Returning Customer"/>
    <x v="3"/>
    <x v="2"/>
    <n v="4"/>
    <x v="155"/>
    <n v="0"/>
    <s v="Delivered"/>
    <s v="Very Satisfied"/>
    <s v="No"/>
    <x v="1"/>
  </r>
  <r>
    <x v="157"/>
    <s v="CUST-0175"/>
    <s v="Bima Permata"/>
    <d v="2026-04-02T00:00:00"/>
    <x v="3"/>
    <s v="Bandung"/>
    <x v="0"/>
    <s v="Returning Customer"/>
    <x v="2"/>
    <x v="3"/>
    <n v="7"/>
    <x v="156"/>
    <n v="0"/>
    <s v="Delivered"/>
    <s v="Very Satisfied"/>
    <s v="Yes"/>
    <x v="1"/>
  </r>
  <r>
    <x v="158"/>
    <s v="CUST-0072"/>
    <s v="Dimas Lestari"/>
    <d v="2026-05-07T00:00:00"/>
    <x v="5"/>
    <s v="Surabaya"/>
    <x v="4"/>
    <s v="Corporate"/>
    <x v="5"/>
    <x v="4"/>
    <n v="2"/>
    <x v="157"/>
    <n v="0"/>
    <s v="Returned"/>
    <s v="Satisfied"/>
    <s v="Yes"/>
    <x v="1"/>
  </r>
  <r>
    <x v="159"/>
    <s v="CUST-0169"/>
    <s v="Citra Permata"/>
    <d v="2026-05-25T00:00:00"/>
    <x v="5"/>
    <s v="Bandung"/>
    <x v="0"/>
    <s v="Vip"/>
    <x v="1"/>
    <x v="0"/>
    <n v="1"/>
    <x v="158"/>
    <n v="15000"/>
    <s v="Delivered"/>
    <s v="Satisfied"/>
    <s v="No"/>
    <x v="0"/>
  </r>
  <r>
    <x v="160"/>
    <s v="CUST-0050"/>
    <s v="Alya Permata"/>
    <d v="2026-06-23T00:00:00"/>
    <x v="0"/>
    <s v="Medan"/>
    <x v="1"/>
    <s v="New Customer"/>
    <x v="2"/>
    <x v="2"/>
    <n v="5"/>
    <x v="159"/>
    <n v="50000"/>
    <s v="Delivered"/>
    <s v="Satisfied"/>
    <s v="No"/>
    <x v="0"/>
  </r>
  <r>
    <x v="161"/>
    <s v="CUST-0111"/>
    <s v="Fajar Wijaya"/>
    <d v="1970-01-01T00:00:00"/>
    <x v="1"/>
    <s v="Makassar"/>
    <x v="2"/>
    <s v="New Customer"/>
    <x v="3"/>
    <x v="0"/>
    <n v="6"/>
    <x v="160"/>
    <n v="0"/>
    <s v="Delivered"/>
    <s v="Satisfied"/>
    <s v="Yes"/>
    <x v="5"/>
  </r>
  <r>
    <x v="162"/>
    <s v="CUST-0072"/>
    <s v="Dimas Lestari"/>
    <d v="2026-04-18T00:00:00"/>
    <x v="3"/>
    <s v="Jakarta"/>
    <x v="3"/>
    <s v="New Customer"/>
    <x v="3"/>
    <x v="0"/>
    <n v="3"/>
    <x v="161"/>
    <n v="35000"/>
    <s v="Delivered"/>
    <s v="Very Satisfied"/>
    <s v="No"/>
    <x v="0"/>
  </r>
  <r>
    <x v="163"/>
    <s v="CUST-0020"/>
    <s v="Fajar Saputra"/>
    <d v="2026-03-05T00:00:00"/>
    <x v="4"/>
    <s v="Jakarta"/>
    <x v="3"/>
    <s v="New Customer"/>
    <x v="2"/>
    <x v="1"/>
    <n v="3"/>
    <x v="162"/>
    <n v="15000"/>
    <s v="Delivered"/>
    <s v="Satisfied"/>
    <s v="Yes"/>
    <x v="0"/>
  </r>
  <r>
    <x v="164"/>
    <s v="CUST-0152"/>
    <s v="Bima Lestari"/>
    <d v="2026-06-10T00:00:00"/>
    <x v="0"/>
    <s v="Surabaya"/>
    <x v="4"/>
    <s v="New Customer"/>
    <x v="0"/>
    <x v="4"/>
    <n v="2"/>
    <x v="163"/>
    <n v="25000"/>
    <s v="Delivered"/>
    <s v="Very Satisfied"/>
    <s v="Yes"/>
    <x v="0"/>
  </r>
  <r>
    <x v="165"/>
    <s v="CUST-0019"/>
    <s v="Citra Saputra"/>
    <d v="2026-06-03T00:00:00"/>
    <x v="0"/>
    <s v="Jakarta"/>
    <x v="3"/>
    <s v="New Customer"/>
    <x v="2"/>
    <x v="3"/>
    <n v="6"/>
    <x v="164"/>
    <n v="0"/>
    <s v="Delivered"/>
    <s v="Very Satisfied"/>
    <s v="Yes"/>
    <x v="1"/>
  </r>
  <r>
    <x v="166"/>
    <s v="CUST-0201"/>
    <s v="Citra Pratama"/>
    <d v="2026-02-02T00:00:00"/>
    <x v="2"/>
    <s v="Jakarta"/>
    <x v="3"/>
    <s v="New Customer"/>
    <x v="3"/>
    <x v="2"/>
    <n v="1"/>
    <x v="165"/>
    <n v="35000"/>
    <s v="Delivered"/>
    <s v="Satisfied"/>
    <s v="Yes"/>
    <x v="0"/>
  </r>
  <r>
    <x v="167"/>
    <s v="CUST-0076"/>
    <s v="Nadia Permata"/>
    <d v="2026-04-08T00:00:00"/>
    <x v="3"/>
    <s v="Makassar"/>
    <x v="2"/>
    <s v="New Customer"/>
    <x v="2"/>
    <x v="1"/>
    <n v="5"/>
    <x v="166"/>
    <n v="0"/>
    <s v="Delivered"/>
    <s v="Very Satisfied"/>
    <s v="No"/>
    <x v="1"/>
  </r>
  <r>
    <x v="168"/>
    <s v="CUST-0204"/>
    <s v="Nadia Pratama"/>
    <d v="2026-04-20T00:00:00"/>
    <x v="3"/>
    <s v="Medan"/>
    <x v="1"/>
    <s v="Vip"/>
    <x v="1"/>
    <x v="0"/>
    <n v="6"/>
    <x v="167"/>
    <n v="25000"/>
    <s v="Cancelled"/>
    <s v="Neutral"/>
    <s v="Yes"/>
    <x v="0"/>
  </r>
  <r>
    <x v="169"/>
    <s v="CUST-0027"/>
    <s v="Rizky Permata"/>
    <d v="2026-01-04T00:00:00"/>
    <x v="1"/>
    <s v="Makassar"/>
    <x v="2"/>
    <s v="Vip"/>
    <x v="0"/>
    <x v="1"/>
    <n v="7"/>
    <x v="168"/>
    <n v="50000"/>
    <s v="Delayed"/>
    <s v="Satisfied"/>
    <s v="No"/>
    <x v="0"/>
  </r>
  <r>
    <x v="170"/>
    <s v="CUST-0186"/>
    <s v="Sari Santoso"/>
    <d v="2026-06-08T00:00:00"/>
    <x v="0"/>
    <s v="Bandung"/>
    <x v="0"/>
    <s v="Vip"/>
    <x v="1"/>
    <x v="1"/>
    <n v="2"/>
    <x v="169"/>
    <n v="15000"/>
    <s v="Delivered"/>
    <s v="Very Satisfied"/>
    <s v="No"/>
    <x v="0"/>
  </r>
  <r>
    <x v="171"/>
    <s v="CUST-0080"/>
    <s v="Fajar Wijaya"/>
    <d v="2026-05-30T00:00:00"/>
    <x v="5"/>
    <s v="Surabaya"/>
    <x v="4"/>
    <s v="Vip"/>
    <x v="4"/>
    <x v="4"/>
    <n v="2"/>
    <x v="170"/>
    <n v="15000"/>
    <s v="Delivered"/>
    <s v="Satisfied"/>
    <s v="Yes"/>
    <x v="0"/>
  </r>
  <r>
    <x v="172"/>
    <s v="CUST-0015"/>
    <s v="Alya Santoso"/>
    <d v="2026-02-03T00:00:00"/>
    <x v="2"/>
    <s v="Bandung"/>
    <x v="0"/>
    <s v="Returning Customer"/>
    <x v="4"/>
    <x v="3"/>
    <n v="7"/>
    <x v="171"/>
    <n v="50000"/>
    <s v="Delivered"/>
    <s v="Very Satisfied"/>
    <s v="Yes"/>
    <x v="0"/>
  </r>
  <r>
    <x v="173"/>
    <s v="CUST-0171"/>
    <s v="Rizky Putri"/>
    <d v="2026-05-02T00:00:00"/>
    <x v="5"/>
    <s v="Surabaya"/>
    <x v="4"/>
    <s v="Vip"/>
    <x v="2"/>
    <x v="3"/>
    <n v="6"/>
    <x v="172"/>
    <n v="50000"/>
    <s v="Delivered"/>
    <s v="Satisfied"/>
    <s v="Yes"/>
    <x v="0"/>
  </r>
  <r>
    <x v="174"/>
    <s v="CUST-0027"/>
    <s v="Rizky Permata"/>
    <d v="2026-04-27T00:00:00"/>
    <x v="3"/>
    <s v="Bandung"/>
    <x v="0"/>
    <s v="Corporate"/>
    <x v="1"/>
    <x v="0"/>
    <n v="2"/>
    <x v="173"/>
    <n v="35000"/>
    <s v="Cancelled"/>
    <s v="Satisfied"/>
    <s v="Yes"/>
    <x v="4"/>
  </r>
  <r>
    <x v="175"/>
    <s v="CUST-0124"/>
    <s v="Maya Saputra"/>
    <d v="2026-03-26T00:00:00"/>
    <x v="4"/>
    <s v="Surabaya"/>
    <x v="4"/>
    <s v="New Customer"/>
    <x v="4"/>
    <x v="3"/>
    <n v="4"/>
    <x v="174"/>
    <n v="15000"/>
    <s v="Delivered"/>
    <m/>
    <s v="Yes"/>
    <x v="6"/>
  </r>
  <r>
    <x v="176"/>
    <s v="CUST-0143"/>
    <s v="Sari Wijaya"/>
    <d v="2026-01-30T00:00:00"/>
    <x v="1"/>
    <s v="Surabaya"/>
    <x v="4"/>
    <s v="New Customer"/>
    <x v="4"/>
    <x v="0"/>
    <n v="4"/>
    <x v="175"/>
    <n v="25000"/>
    <s v="Delivered"/>
    <s v="Satisfied"/>
    <s v="Yes"/>
    <x v="0"/>
  </r>
  <r>
    <x v="177"/>
    <s v="CUST-0073"/>
    <s v="Alya Wijaya"/>
    <d v="2026-02-14T00:00:00"/>
    <x v="2"/>
    <s v="Bandung"/>
    <x v="0"/>
    <s v="Returning Customer"/>
    <x v="5"/>
    <x v="2"/>
    <n v="6"/>
    <x v="176"/>
    <n v="25000"/>
    <s v="Delivered"/>
    <s v="Neutral"/>
    <s v="Yes"/>
    <x v="0"/>
  </r>
  <r>
    <x v="178"/>
    <s v="CUST-0216"/>
    <s v="Raka Putri"/>
    <d v="2026-03-09T00:00:00"/>
    <x v="4"/>
    <s v="Jakarta"/>
    <x v="3"/>
    <s v="Vip"/>
    <x v="5"/>
    <x v="3"/>
    <n v="7"/>
    <x v="177"/>
    <n v="0"/>
    <s v="Delivered"/>
    <s v="Satisfied"/>
    <s v="No"/>
    <x v="1"/>
  </r>
  <r>
    <x v="179"/>
    <s v="CUST-0062"/>
    <s v="Rizky Dewi"/>
    <d v="2026-04-05T00:00:00"/>
    <x v="3"/>
    <s v="Jakarta"/>
    <x v="3"/>
    <s v="New Customer"/>
    <x v="5"/>
    <x v="0"/>
    <n v="5"/>
    <x v="178"/>
    <n v="15000"/>
    <s v="Returned"/>
    <s v="Dissatisfied"/>
    <s v="Yes"/>
    <x v="0"/>
  </r>
  <r>
    <x v="180"/>
    <s v="CUST-0050"/>
    <s v="Alya Permata"/>
    <d v="2026-05-17T00:00:00"/>
    <x v="5"/>
    <s v="Bandung"/>
    <x v="0"/>
    <s v="New Customer"/>
    <x v="1"/>
    <x v="4"/>
    <n v="3"/>
    <x v="179"/>
    <n v="25000"/>
    <s v="Delivered"/>
    <s v="Dissatisfied"/>
    <s v="Yes"/>
    <x v="0"/>
  </r>
  <r>
    <x v="181"/>
    <s v="CUST-0219"/>
    <s v="Fajar Dewi"/>
    <d v="2026-05-18T00:00:00"/>
    <x v="5"/>
    <s v="Surabaya"/>
    <x v="4"/>
    <s v="Returning Customer"/>
    <x v="1"/>
    <x v="4"/>
    <n v="3"/>
    <x v="180"/>
    <n v="15000"/>
    <s v="Delivered"/>
    <s v="Satisfied"/>
    <s v="No"/>
    <x v="0"/>
  </r>
  <r>
    <x v="182"/>
    <s v="CUST-0054"/>
    <s v="Raka Permata"/>
    <d v="2026-01-21T00:00:00"/>
    <x v="1"/>
    <s v="Makassar"/>
    <x v="2"/>
    <s v="Vip"/>
    <x v="2"/>
    <x v="4"/>
    <n v="1"/>
    <x v="181"/>
    <n v="50000"/>
    <s v="Delivered"/>
    <s v="Satisfied"/>
    <s v="No"/>
    <x v="0"/>
  </r>
  <r>
    <x v="183"/>
    <s v="CUST-0046"/>
    <s v="Raka Wijaya"/>
    <d v="2026-03-24T00:00:00"/>
    <x v="4"/>
    <s v="Medan"/>
    <x v="1"/>
    <s v="Vip"/>
    <x v="1"/>
    <x v="1"/>
    <n v="6"/>
    <x v="182"/>
    <n v="50000"/>
    <s v="Delivered"/>
    <s v="Dissatisfied"/>
    <s v="Yes"/>
    <x v="0"/>
  </r>
  <r>
    <x v="184"/>
    <s v="CUST-0054"/>
    <s v="Raka Permata"/>
    <d v="2026-02-26T00:00:00"/>
    <x v="2"/>
    <s v="Medan"/>
    <x v="1"/>
    <s v="Corporate"/>
    <x v="1"/>
    <x v="0"/>
    <n v="7"/>
    <x v="183"/>
    <n v="35000"/>
    <s v="Delivered"/>
    <s v="Very Satisfied"/>
    <s v="No"/>
    <x v="0"/>
  </r>
  <r>
    <x v="185"/>
    <s v="CUST-0066"/>
    <s v="Citra Putri"/>
    <d v="2026-05-21T00:00:00"/>
    <x v="5"/>
    <s v="Surabaya"/>
    <x v="4"/>
    <s v="Returning Customer"/>
    <x v="1"/>
    <x v="2"/>
    <n v="7"/>
    <x v="184"/>
    <n v="15000"/>
    <s v="Delivered"/>
    <s v="Satisfied"/>
    <s v="No"/>
    <x v="0"/>
  </r>
  <r>
    <x v="186"/>
    <s v="CUST-0132"/>
    <s v="Alya Putri"/>
    <d v="2026-06-09T00:00:00"/>
    <x v="0"/>
    <s v="Medan"/>
    <x v="1"/>
    <s v="Vip"/>
    <x v="0"/>
    <x v="1"/>
    <n v="4"/>
    <x v="185"/>
    <n v="35000"/>
    <s v="Delivered"/>
    <s v="Satisfied"/>
    <s v="Yes"/>
    <x v="0"/>
  </r>
  <r>
    <x v="187"/>
    <s v="CUST-0046"/>
    <s v="Raka Wijaya"/>
    <d v="2026-04-24T00:00:00"/>
    <x v="3"/>
    <s v="Surabaya"/>
    <x v="4"/>
    <s v="New Customer"/>
    <x v="0"/>
    <x v="0"/>
    <n v="6"/>
    <x v="186"/>
    <n v="25000"/>
    <s v="Delivered"/>
    <s v="Neutral"/>
    <s v="Yes"/>
    <x v="0"/>
  </r>
  <r>
    <x v="188"/>
    <s v="CUST-0031"/>
    <s v="Rizky Permata"/>
    <d v="2026-01-19T00:00:00"/>
    <x v="1"/>
    <s v="Surabaya"/>
    <x v="4"/>
    <s v="Vip"/>
    <x v="0"/>
    <x v="3"/>
    <n v="5"/>
    <x v="187"/>
    <n v="0"/>
    <s v="Delivered"/>
    <s v="Very Satisfied"/>
    <s v="Yes"/>
    <x v="1"/>
  </r>
  <r>
    <x v="189"/>
    <s v="CUST-0181"/>
    <s v="Nadia Lestari"/>
    <d v="2026-06-04T00:00:00"/>
    <x v="0"/>
    <s v="Surabaya"/>
    <x v="4"/>
    <s v="Corporate"/>
    <x v="2"/>
    <x v="4"/>
    <n v="3"/>
    <x v="188"/>
    <n v="50000"/>
    <s v="Delivered"/>
    <s v=" very satisfied "/>
    <s v="Yes"/>
    <x v="0"/>
  </r>
  <r>
    <x v="190"/>
    <s v="CUST-0121"/>
    <s v="Rizky Saputra"/>
    <d v="2026-06-17T00:00:00"/>
    <x v="0"/>
    <s v="Bandung"/>
    <x v="0"/>
    <s v="Corporate"/>
    <x v="5"/>
    <x v="4"/>
    <n v="7"/>
    <x v="189"/>
    <n v="15000"/>
    <s v="Delivered"/>
    <s v="Very Satisfied"/>
    <s v="No"/>
    <x v="0"/>
  </r>
  <r>
    <x v="191"/>
    <s v="CUST-0185"/>
    <s v="Alya Dewi"/>
    <d v="2026-04-29T00:00:00"/>
    <x v="3"/>
    <s v="Medan"/>
    <x v="1"/>
    <s v="Returning Customer"/>
    <x v="2"/>
    <x v="1"/>
    <n v="3"/>
    <x v="190"/>
    <n v="0"/>
    <s v="Delayed"/>
    <s v="Dissatisfied"/>
    <s v="Yes"/>
    <x v="1"/>
  </r>
  <r>
    <x v="192"/>
    <s v="CUST-0096"/>
    <s v="Alya Saputra"/>
    <d v="2026-02-05T00:00:00"/>
    <x v="2"/>
    <s v="Surabaya"/>
    <x v="4"/>
    <s v="Vip"/>
    <x v="5"/>
    <x v="1"/>
    <n v="6"/>
    <x v="191"/>
    <n v="25000"/>
    <s v="Delivered"/>
    <s v="Neutral"/>
    <s v="No"/>
    <x v="0"/>
  </r>
  <r>
    <x v="193"/>
    <s v="CUST-0176"/>
    <s v="Rizky Dewi"/>
    <d v="2026-04-14T00:00:00"/>
    <x v="3"/>
    <s v="Jakarta"/>
    <x v="3"/>
    <s v="Returning Customer"/>
    <x v="5"/>
    <x v="3"/>
    <m/>
    <x v="59"/>
    <n v="25000"/>
    <s v="Delivered"/>
    <s v="Satisfied"/>
    <s v="No"/>
    <x v="8"/>
  </r>
  <r>
    <x v="194"/>
    <s v="CUST-0098"/>
    <s v="Fajar Lestari"/>
    <d v="2026-02-22T00:00:00"/>
    <x v="2"/>
    <s v="Surabaya"/>
    <x v="4"/>
    <s v="Corporate"/>
    <x v="3"/>
    <x v="3"/>
    <n v="5"/>
    <x v="192"/>
    <n v="0"/>
    <s v=" delivered "/>
    <s v="Satisfied"/>
    <s v="Yes"/>
    <x v="1"/>
  </r>
  <r>
    <x v="195"/>
    <s v="CUST-0044"/>
    <s v="Rizky Lestari"/>
    <d v="2026-01-27T00:00:00"/>
    <x v="1"/>
    <s v="Bandung"/>
    <x v="0"/>
    <s v="New Customer"/>
    <x v="2"/>
    <x v="3"/>
    <n v="1"/>
    <x v="193"/>
    <n v="15000"/>
    <s v="Delayed"/>
    <s v="Very Satisfied"/>
    <s v="Yes"/>
    <x v="0"/>
  </r>
  <r>
    <x v="196"/>
    <s v="CUST-0060"/>
    <s v="Alya Santoso"/>
    <d v="2026-03-16T00:00:00"/>
    <x v="4"/>
    <s v="Bandung"/>
    <x v="0"/>
    <s v="Vip"/>
    <x v="2"/>
    <x v="1"/>
    <n v="4"/>
    <x v="194"/>
    <n v="0"/>
    <s v="Delivered"/>
    <s v="Satisfied"/>
    <s v="Yes"/>
    <x v="1"/>
  </r>
  <r>
    <x v="197"/>
    <s v="CUST-0029"/>
    <s v="Nadia Lestari"/>
    <d v="2026-02-03T00:00:00"/>
    <x v="2"/>
    <s v="Bandung"/>
    <x v="0"/>
    <s v="Returning Customer"/>
    <x v="5"/>
    <x v="3"/>
    <n v="4"/>
    <x v="195"/>
    <n v="35000"/>
    <s v="Delivered"/>
    <s v="Satisfied"/>
    <s v="No"/>
    <x v="0"/>
  </r>
  <r>
    <x v="198"/>
    <s v="CUST-0210"/>
    <s v="Maya Pratama"/>
    <d v="2026-06-20T00:00:00"/>
    <x v="0"/>
    <s v="Bandung"/>
    <x v="0"/>
    <s v="Corporate"/>
    <x v="0"/>
    <x v="0"/>
    <n v="5"/>
    <x v="196"/>
    <n v="15000"/>
    <s v="Delivered"/>
    <s v="Very Satisfied"/>
    <s v="Yes"/>
    <x v="0"/>
  </r>
  <r>
    <x v="199"/>
    <s v="CUST-0037"/>
    <s v="Maya Santoso"/>
    <d v="2026-04-25T00:00:00"/>
    <x v="3"/>
    <s v="Medan"/>
    <x v="1"/>
    <s v="Corporate"/>
    <x v="2"/>
    <x v="4"/>
    <n v="5"/>
    <x v="197"/>
    <n v="35000"/>
    <s v="Delayed"/>
    <s v="Dissatisfied"/>
    <s v="Yes"/>
    <x v="0"/>
  </r>
  <r>
    <x v="200"/>
    <s v="CUST-0189"/>
    <s v="Citra Lestari"/>
    <d v="2026-01-24T00:00:00"/>
    <x v="1"/>
    <s v="Surabaya"/>
    <x v="4"/>
    <s v="Corporate"/>
    <x v="1"/>
    <x v="0"/>
    <n v="3"/>
    <x v="198"/>
    <n v="35000"/>
    <s v="Delivered"/>
    <s v="Satisfied"/>
    <s v="No"/>
    <x v="0"/>
  </r>
  <r>
    <x v="201"/>
    <s v="CUST-0064"/>
    <s v="Citra Wijaya"/>
    <d v="2026-02-15T00:00:00"/>
    <x v="2"/>
    <s v="Makassar"/>
    <x v="2"/>
    <s v="New Customer"/>
    <x v="2"/>
    <x v="2"/>
    <n v="4"/>
    <x v="199"/>
    <n v="35000"/>
    <s v="Cancelled"/>
    <s v="Very Satisfied"/>
    <s v="Yes"/>
    <x v="4"/>
  </r>
  <r>
    <x v="202"/>
    <s v="CUST-0227"/>
    <s v="Citra Putri"/>
    <d v="2026-02-10T00:00:00"/>
    <x v="2"/>
    <s v="Bandung"/>
    <x v="0"/>
    <s v="Corporate"/>
    <x v="2"/>
    <x v="4"/>
    <n v="3"/>
    <x v="200"/>
    <n v="50000"/>
    <s v="Delivered"/>
    <s v="Very Satisfied"/>
    <s v="Yes"/>
    <x v="0"/>
  </r>
  <r>
    <x v="203"/>
    <s v="CUST-0095"/>
    <s v="Alya Santoso"/>
    <d v="2026-01-20T00:00:00"/>
    <x v="1"/>
    <s v="Bandung"/>
    <x v="0"/>
    <s v="Vip"/>
    <x v="5"/>
    <x v="4"/>
    <n v="7"/>
    <x v="201"/>
    <n v="50000"/>
    <s v="Delivered"/>
    <s v="Satisfied"/>
    <s v="Yes"/>
    <x v="0"/>
  </r>
  <r>
    <x v="204"/>
    <s v="CUST-0119"/>
    <s v="Fajar Santoso"/>
    <d v="2026-01-07T00:00:00"/>
    <x v="1"/>
    <s v="Bandung"/>
    <x v="0"/>
    <s v="Corporate"/>
    <x v="4"/>
    <x v="2"/>
    <n v="4"/>
    <x v="202"/>
    <n v="35000"/>
    <s v="Delivered"/>
    <s v="Satisfied"/>
    <s v="No"/>
    <x v="0"/>
  </r>
  <r>
    <x v="205"/>
    <s v="CUST-0030"/>
    <s v="Alya Putri"/>
    <d v="2026-02-04T00:00:00"/>
    <x v="2"/>
    <s v="Bandung"/>
    <x v="0"/>
    <s v="Corporate"/>
    <x v="5"/>
    <x v="1"/>
    <n v="4"/>
    <x v="203"/>
    <n v="35000"/>
    <s v="Delivered"/>
    <s v="Very Satisfied"/>
    <s v="No"/>
    <x v="0"/>
  </r>
  <r>
    <x v="206"/>
    <s v="CUST-0216"/>
    <s v="Raka Putri"/>
    <d v="2026-02-11T00:00:00"/>
    <x v="2"/>
    <s v="Makassar"/>
    <x v="2"/>
    <s v="Corporate"/>
    <x v="5"/>
    <x v="2"/>
    <n v="5"/>
    <x v="204"/>
    <n v="0"/>
    <s v="Delivered"/>
    <s v="Very Satisfied"/>
    <s v="Yes"/>
    <x v="2"/>
  </r>
  <r>
    <x v="207"/>
    <s v="CUST-0174"/>
    <s v="Alya Wijaya"/>
    <d v="2026-03-11T00:00:00"/>
    <x v="4"/>
    <s v="Makassar"/>
    <x v="2"/>
    <s v="Returning Customer"/>
    <x v="2"/>
    <x v="2"/>
    <n v="3"/>
    <x v="205"/>
    <n v="35000"/>
    <s v="Delivered"/>
    <s v="Satisfied"/>
    <s v="Yes"/>
    <x v="0"/>
  </r>
  <r>
    <x v="208"/>
    <s v="CUST-0100"/>
    <s v="Raka Pratama"/>
    <d v="2026-06-26T00:00:00"/>
    <x v="0"/>
    <s v="Medan"/>
    <x v="1"/>
    <s v="Returning Customer"/>
    <x v="5"/>
    <x v="3"/>
    <n v="1"/>
    <x v="206"/>
    <n v="35000"/>
    <s v="Delivered"/>
    <s v="Very Satisfied"/>
    <s v="Yes"/>
    <x v="0"/>
  </r>
  <r>
    <x v="209"/>
    <s v="CUST-0052"/>
    <s v="Rizky Putri"/>
    <d v="2026-01-24T00:00:00"/>
    <x v="1"/>
    <s v="Jakarta"/>
    <x v="3"/>
    <s v="Returning Customer"/>
    <x v="4"/>
    <x v="0"/>
    <n v="1"/>
    <x v="207"/>
    <n v="35000"/>
    <s v="Returned"/>
    <s v="Satisfied"/>
    <s v="Yes"/>
    <x v="0"/>
  </r>
  <r>
    <x v="210"/>
    <s v="CUST-0012"/>
    <s v="Sari Saputra"/>
    <d v="2026-04-17T00:00:00"/>
    <x v="3"/>
    <s v="Bandung"/>
    <x v="0"/>
    <s v="Returning Customer"/>
    <x v="1"/>
    <x v="1"/>
    <n v="7"/>
    <x v="208"/>
    <n v="0"/>
    <s v="Delivered"/>
    <s v="Satisfied"/>
    <s v="No"/>
    <x v="1"/>
  </r>
  <r>
    <x v="211"/>
    <s v="CUST-0031"/>
    <s v="Rizky Permata"/>
    <d v="2026-03-01T00:00:00"/>
    <x v="4"/>
    <s v="Surabaya"/>
    <x v="4"/>
    <s v="New Customer"/>
    <x v="2"/>
    <x v="0"/>
    <n v="3"/>
    <x v="209"/>
    <n v="0"/>
    <s v="Delivered"/>
    <s v="Very Satisfied"/>
    <s v="No"/>
    <x v="1"/>
  </r>
  <r>
    <x v="212"/>
    <s v="CUST-0057"/>
    <s v="Raka Wijaya"/>
    <d v="2026-01-17T00:00:00"/>
    <x v="1"/>
    <s v="Medan"/>
    <x v="1"/>
    <s v="Vip"/>
    <x v="1"/>
    <x v="1"/>
    <n v="3"/>
    <x v="210"/>
    <n v="50000"/>
    <s v="Delivered"/>
    <s v="Neutral"/>
    <s v="Yes"/>
    <x v="0"/>
  </r>
  <r>
    <x v="213"/>
    <s v="CUST-0183"/>
    <s v="Bima Dewi"/>
    <d v="2026-05-18T00:00:00"/>
    <x v="5"/>
    <s v="Medan"/>
    <x v="1"/>
    <s v="Returning Customer"/>
    <x v="0"/>
    <x v="0"/>
    <n v="1"/>
    <x v="211"/>
    <n v="25000"/>
    <s v="Delivered"/>
    <s v="Dissatisfied"/>
    <s v="No"/>
    <x v="0"/>
  </r>
  <r>
    <x v="214"/>
    <s v="CUST-0218"/>
    <s v="Citra Permata"/>
    <d v="2026-06-20T00:00:00"/>
    <x v="0"/>
    <s v="Medan"/>
    <x v="1"/>
    <s v="Corporate"/>
    <x v="1"/>
    <x v="0"/>
    <n v="3"/>
    <x v="212"/>
    <n v="0"/>
    <s v="Delivered"/>
    <s v="Neutral"/>
    <s v="Yes"/>
    <x v="1"/>
  </r>
  <r>
    <x v="215"/>
    <s v="CUST-0060"/>
    <s v="Alya Santoso"/>
    <d v="2026-01-06T00:00:00"/>
    <x v="1"/>
    <s v="Makassar"/>
    <x v="2"/>
    <s v="New Customer"/>
    <x v="4"/>
    <x v="0"/>
    <n v="2"/>
    <x v="213"/>
    <n v="25000"/>
    <s v="Delivered"/>
    <s v="Satisfied"/>
    <s v="No"/>
    <x v="0"/>
  </r>
  <r>
    <x v="216"/>
    <s v="CUST-0128"/>
    <s v="Bima Santoso"/>
    <d v="2026-03-17T00:00:00"/>
    <x v="4"/>
    <s v="Makassar"/>
    <x v="2"/>
    <s v="Corporate"/>
    <x v="3"/>
    <x v="3"/>
    <n v="4"/>
    <x v="214"/>
    <n v="15000"/>
    <s v="Delivered"/>
    <s v="Very Satisfied"/>
    <s v="Yes"/>
    <x v="0"/>
  </r>
  <r>
    <x v="217"/>
    <s v="CUST-0072"/>
    <s v="Dimas Lestari"/>
    <d v="2026-03-23T00:00:00"/>
    <x v="4"/>
    <s v="Jakarta"/>
    <x v="3"/>
    <s v="Returning Customer"/>
    <x v="3"/>
    <x v="3"/>
    <n v="7"/>
    <x v="215"/>
    <n v="50000"/>
    <s v="Returned"/>
    <s v="Satisfied"/>
    <s v="No"/>
    <x v="0"/>
  </r>
  <r>
    <x v="218"/>
    <s v="cust-0063"/>
    <s v="Fajar Lestari"/>
    <d v="2026-02-22T00:00:00"/>
    <x v="2"/>
    <s v="Bandung"/>
    <x v="0"/>
    <s v="Corporate"/>
    <x v="1"/>
    <x v="3"/>
    <n v="6"/>
    <x v="216"/>
    <n v="0"/>
    <s v="Returned"/>
    <s v="Neutral"/>
    <s v="Yes"/>
    <x v="1"/>
  </r>
  <r>
    <x v="219"/>
    <s v="CUST-0114"/>
    <s v="Bima Wijaya"/>
    <d v="2026-06-11T00:00:00"/>
    <x v="0"/>
    <s v="Jkt"/>
    <x v="3"/>
    <s v="Returning Customer"/>
    <x v="5"/>
    <x v="0"/>
    <n v="7"/>
    <x v="217"/>
    <n v="0"/>
    <s v="Delivered"/>
    <s v="Dissatisfied"/>
    <s v="Yes"/>
    <x v="1"/>
  </r>
  <r>
    <x v="220"/>
    <s v="CUST-0045"/>
    <s v="Nadia Lestari"/>
    <d v="2026-06-01T00:00:00"/>
    <x v="0"/>
    <s v="Medan"/>
    <x v="1"/>
    <s v="Vip"/>
    <x v="5"/>
    <x v="0"/>
    <n v="2"/>
    <x v="218"/>
    <n v="15000"/>
    <s v="Delivered"/>
    <s v="Satisfied"/>
    <s v="Yes"/>
    <x v="0"/>
  </r>
  <r>
    <x v="221"/>
    <s v="CUST-0109"/>
    <s v="Raka Wijaya"/>
    <d v="2026-02-15T00:00:00"/>
    <x v="2"/>
    <s v="Bandung"/>
    <x v="0"/>
    <s v="Vip"/>
    <x v="2"/>
    <x v="2"/>
    <n v="3"/>
    <x v="219"/>
    <n v="25000"/>
    <s v="Delivered"/>
    <s v="Dissatisfied"/>
    <s v="No"/>
    <x v="0"/>
  </r>
  <r>
    <x v="222"/>
    <s v="CUST-0102"/>
    <s v="Rizky Santoso"/>
    <d v="2026-04-07T00:00:00"/>
    <x v="3"/>
    <s v="Medan"/>
    <x v="1"/>
    <s v="Returning Customer"/>
    <x v="2"/>
    <x v="2"/>
    <n v="4"/>
    <x v="220"/>
    <n v="35000"/>
    <s v="Delivered"/>
    <s v="Satisfied"/>
    <s v="No"/>
    <x v="0"/>
  </r>
  <r>
    <x v="223"/>
    <s v="CUST-0110"/>
    <s v="Fajar Santoso"/>
    <d v="2026-01-22T00:00:00"/>
    <x v="1"/>
    <s v="Surabaya"/>
    <x v="4"/>
    <s v="Corporate"/>
    <x v="2"/>
    <x v="3"/>
    <n v="5"/>
    <x v="221"/>
    <n v="50000"/>
    <s v="Delivered"/>
    <s v="Satisfied"/>
    <s v="No"/>
    <x v="0"/>
  </r>
  <r>
    <x v="224"/>
    <s v="CUST-0073"/>
    <s v="Alya Wijaya"/>
    <d v="2026-04-07T00:00:00"/>
    <x v="3"/>
    <s v="Medan"/>
    <x v="1"/>
    <s v="Returning Customer"/>
    <x v="5"/>
    <x v="0"/>
    <n v="4"/>
    <x v="222"/>
    <n v="50000"/>
    <s v="Delivered"/>
    <s v="Very Satisfied"/>
    <s v="Yes"/>
    <x v="0"/>
  </r>
  <r>
    <x v="225"/>
    <s v="CUST-0004"/>
    <s v="Alya Pratama"/>
    <d v="2026-05-09T00:00:00"/>
    <x v="5"/>
    <s v="Surabaya"/>
    <x v="4"/>
    <s v="Corporate"/>
    <x v="2"/>
    <x v="3"/>
    <n v="4"/>
    <x v="223"/>
    <n v="35000"/>
    <s v="Cancelled"/>
    <s v="Dissatisfied"/>
    <s v="Yes"/>
    <x v="0"/>
  </r>
  <r>
    <x v="226"/>
    <s v="CUST-0105"/>
    <s v="Bima Santoso"/>
    <d v="2026-01-10T00:00:00"/>
    <x v="1"/>
    <s v="Surabaya"/>
    <x v="4"/>
    <s v="Vip"/>
    <x v="1"/>
    <x v="1"/>
    <n v="5"/>
    <x v="224"/>
    <n v="35000"/>
    <s v="Delivered"/>
    <s v="Satisfied"/>
    <s v="No"/>
    <x v="0"/>
  </r>
  <r>
    <x v="227"/>
    <s v="CUST-0179"/>
    <s v="Fajar Pratama"/>
    <d v="2026-01-15T00:00:00"/>
    <x v="1"/>
    <s v="Surabaya"/>
    <x v="4"/>
    <s v="New Customer"/>
    <x v="3"/>
    <x v="0"/>
    <n v="6"/>
    <x v="225"/>
    <n v="35000"/>
    <s v="Delivered"/>
    <s v="Satisfied"/>
    <s v="No"/>
    <x v="0"/>
  </r>
  <r>
    <x v="228"/>
    <s v="CUST-0155"/>
    <s v="Citra Putri"/>
    <d v="2026-04-27T00:00:00"/>
    <x v="3"/>
    <s v="Bandung"/>
    <x v="0"/>
    <s v="New Customer"/>
    <x v="4"/>
    <x v="2"/>
    <n v="2"/>
    <x v="226"/>
    <n v="25000"/>
    <s v="Delivered"/>
    <s v="Dissatisfied"/>
    <s v="No"/>
    <x v="0"/>
  </r>
  <r>
    <x v="229"/>
    <s v="CUST-0102"/>
    <s v="Rizky Santoso"/>
    <d v="2026-06-30T00:00:00"/>
    <x v="0"/>
    <s v="Surabaya"/>
    <x v="4"/>
    <s v="Corporate"/>
    <x v="1"/>
    <x v="3"/>
    <n v="2"/>
    <x v="227"/>
    <n v="50000"/>
    <s v="Delayed"/>
    <s v="Neutral"/>
    <s v="No"/>
    <x v="0"/>
  </r>
  <r>
    <x v="230"/>
    <s v="CUST-0193"/>
    <s v="Citra Santoso"/>
    <d v="2026-01-23T00:00:00"/>
    <x v="1"/>
    <s v="Bandung"/>
    <x v="0"/>
    <s v="Corporate"/>
    <x v="3"/>
    <x v="3"/>
    <n v="7"/>
    <x v="228"/>
    <n v="50000"/>
    <s v="Delayed"/>
    <s v="Satisfied"/>
    <s v="Yes"/>
    <x v="0"/>
  </r>
  <r>
    <x v="231"/>
    <s v="CUST-0044"/>
    <s v="Rizky Lestari"/>
    <d v="2026-06-05T00:00:00"/>
    <x v="0"/>
    <s v="Medan"/>
    <x v="1"/>
    <s v="Vip"/>
    <x v="3"/>
    <x v="1"/>
    <n v="1"/>
    <x v="229"/>
    <n v="0"/>
    <s v="Delivered"/>
    <s v="Satisfied"/>
    <s v="Yes"/>
    <x v="1"/>
  </r>
  <r>
    <x v="232"/>
    <s v="CUST-0046"/>
    <s v="Raka Wijaya"/>
    <d v="2026-04-06T00:00:00"/>
    <x v="3"/>
    <s v="Jakarta"/>
    <x v="3"/>
    <s v="Corporate"/>
    <x v="1"/>
    <x v="0"/>
    <n v="2"/>
    <x v="230"/>
    <n v="15000"/>
    <s v="Delivered"/>
    <s v=" satisfied "/>
    <s v="Yes"/>
    <x v="0"/>
  </r>
  <r>
    <x v="233"/>
    <s v="CUST-0052"/>
    <s v="Rizky Putri"/>
    <d v="2026-01-16T00:00:00"/>
    <x v="1"/>
    <s v="Makassar"/>
    <x v="2"/>
    <s v="New Customer"/>
    <x v="3"/>
    <x v="0"/>
    <n v="3"/>
    <x v="231"/>
    <n v="15000"/>
    <s v="Returned"/>
    <s v="Neutral"/>
    <s v="Yes"/>
    <x v="0"/>
  </r>
  <r>
    <x v="234"/>
    <s v="CUST-0076"/>
    <s v="Nadia Permata"/>
    <d v="2026-01-22T00:00:00"/>
    <x v="1"/>
    <s v="Bandung"/>
    <x v="0"/>
    <s v="Corporate"/>
    <x v="2"/>
    <x v="2"/>
    <n v="3"/>
    <x v="232"/>
    <n v="0"/>
    <s v="Delivered"/>
    <s v="Very Satisfied"/>
    <s v="Yes"/>
    <x v="1"/>
  </r>
  <r>
    <x v="235"/>
    <s v="CUST-0016"/>
    <s v="Alya Dewi"/>
    <d v="2026-03-10T00:00:00"/>
    <x v="4"/>
    <s v="Jakarta"/>
    <x v="3"/>
    <s v="Corporate"/>
    <x v="1"/>
    <x v="4"/>
    <n v="7"/>
    <x v="233"/>
    <n v="50000"/>
    <s v="Returned"/>
    <s v="Neutral"/>
    <s v="No"/>
    <x v="0"/>
  </r>
  <r>
    <x v="236"/>
    <s v="CUST-0239"/>
    <s v="Alya Saputra"/>
    <d v="2026-05-05T00:00:00"/>
    <x v="5"/>
    <s v="Surabaya"/>
    <x v="4"/>
    <s v="Vip"/>
    <x v="5"/>
    <x v="3"/>
    <n v="5"/>
    <x v="234"/>
    <n v="25000"/>
    <s v="Delivered"/>
    <s v="Satisfied"/>
    <s v="No"/>
    <x v="0"/>
  </r>
  <r>
    <x v="237"/>
    <s v="CUST-0097"/>
    <s v="Bima Santoso"/>
    <d v="2026-06-06T00:00:00"/>
    <x v="0"/>
    <s v="Medan"/>
    <x v="1"/>
    <s v="Corporate"/>
    <x v="3"/>
    <x v="0"/>
    <n v="7"/>
    <x v="235"/>
    <n v="25000"/>
    <s v=" delivered "/>
    <s v="Very Satisfied"/>
    <s v="Yes"/>
    <x v="0"/>
  </r>
  <r>
    <x v="238"/>
    <s v="CUST-0155"/>
    <s v="Citra Putri"/>
    <d v="2026-02-01T00:00:00"/>
    <x v="2"/>
    <s v="Medan"/>
    <x v="1"/>
    <s v="Corporate"/>
    <x v="1"/>
    <x v="1"/>
    <n v="6"/>
    <x v="236"/>
    <n v="25000"/>
    <s v="Delivered"/>
    <s v="Very Satisfied"/>
    <s v="Yes"/>
    <x v="0"/>
  </r>
  <r>
    <x v="239"/>
    <s v="CUST-0001"/>
    <s v="Maya Putri"/>
    <d v="2026-06-13T00:00:00"/>
    <x v="0"/>
    <s v="Surabaya"/>
    <x v="4"/>
    <s v="Corporate"/>
    <x v="5"/>
    <x v="4"/>
    <n v="6"/>
    <x v="237"/>
    <n v="0"/>
    <s v="Delivered"/>
    <s v="Very Satisfied"/>
    <s v="No"/>
    <x v="1"/>
  </r>
  <r>
    <x v="240"/>
    <s v="CUST-0103"/>
    <s v="Alya Pratama"/>
    <d v="2026-06-06T00:00:00"/>
    <x v="0"/>
    <s v="Medan"/>
    <x v="1"/>
    <s v="New Customer"/>
    <x v="3"/>
    <x v="1"/>
    <n v="4"/>
    <x v="238"/>
    <n v="25000"/>
    <s v="Cancelled"/>
    <s v="Dissatisfied"/>
    <s v="No"/>
    <x v="0"/>
  </r>
  <r>
    <x v="241"/>
    <s v="CUST-0156"/>
    <s v="Dimas Putri"/>
    <d v="2026-02-19T00:00:00"/>
    <x v="2"/>
    <s v="Medan"/>
    <x v="1"/>
    <s v="New Customer"/>
    <x v="0"/>
    <x v="4"/>
    <n v="5"/>
    <x v="239"/>
    <n v="50000"/>
    <s v="Delayed"/>
    <s v="Very Satisfied"/>
    <s v="No"/>
    <x v="0"/>
  </r>
  <r>
    <x v="242"/>
    <s v="CUST-0044"/>
    <s v="Rizky Lestari"/>
    <d v="2026-04-25T00:00:00"/>
    <x v="3"/>
    <s v="Bandung"/>
    <x v="0"/>
    <s v="New Customer"/>
    <x v="4"/>
    <x v="1"/>
    <n v="6"/>
    <x v="240"/>
    <n v="35000"/>
    <s v="Delivered"/>
    <s v="Very Satisfied"/>
    <s v="Yes"/>
    <x v="0"/>
  </r>
  <r>
    <x v="243"/>
    <s v="CUST-0042"/>
    <s v="Fajar Permata"/>
    <d v="2026-03-25T00:00:00"/>
    <x v="4"/>
    <s v="Jakarta"/>
    <x v="3"/>
    <s v="Returning Customer"/>
    <x v="1"/>
    <x v="1"/>
    <n v="2"/>
    <x v="241"/>
    <n v="25000"/>
    <s v="Delivered"/>
    <s v="Satisfied"/>
    <s v="Yes"/>
    <x v="0"/>
  </r>
  <r>
    <x v="244"/>
    <s v="CUST-0204"/>
    <s v="Nadia Pratama"/>
    <d v="1970-01-01T00:00:00"/>
    <x v="1"/>
    <s v="Surabaya"/>
    <x v="4"/>
    <s v="Corporate"/>
    <x v="3"/>
    <x v="1"/>
    <n v="5"/>
    <x v="242"/>
    <n v="15000"/>
    <s v="Delivered"/>
    <s v="Satisfied"/>
    <s v="No"/>
    <x v="9"/>
  </r>
  <r>
    <x v="245"/>
    <s v="CUST-0207"/>
    <s v="Fajar Santoso"/>
    <d v="2026-03-01T00:00:00"/>
    <x v="4"/>
    <s v="Surabaya"/>
    <x v="4"/>
    <s v="Returning Customer"/>
    <x v="3"/>
    <x v="2"/>
    <n v="1"/>
    <x v="243"/>
    <n v="25000"/>
    <s v="Delivered"/>
    <s v="Very Satisfied"/>
    <s v="No"/>
    <x v="0"/>
  </r>
  <r>
    <x v="246"/>
    <s v="CUST-0033"/>
    <s v="Rizky Permata"/>
    <d v="2026-03-22T00:00:00"/>
    <x v="4"/>
    <s v="Makassar"/>
    <x v="2"/>
    <s v="Returning Customer"/>
    <x v="2"/>
    <x v="1"/>
    <n v="6"/>
    <x v="244"/>
    <n v="50000"/>
    <s v="Delivered"/>
    <s v="Very Satisfied"/>
    <s v="No"/>
    <x v="0"/>
  </r>
  <r>
    <x v="247"/>
    <s v="CUST-0198"/>
    <s v="Citra Santoso"/>
    <d v="2026-04-04T00:00:00"/>
    <x v="3"/>
    <s v="Medan"/>
    <x v="1"/>
    <s v="New Customer"/>
    <x v="1"/>
    <x v="1"/>
    <n v="6"/>
    <x v="245"/>
    <n v="50000"/>
    <s v="Delivered"/>
    <s v="Very Satisfied"/>
    <s v="No"/>
    <x v="0"/>
  </r>
  <r>
    <x v="248"/>
    <s v="CUST-0038"/>
    <s v="Dimas Permata"/>
    <d v="2026-03-17T00:00:00"/>
    <x v="4"/>
    <s v="Bandung"/>
    <x v="0"/>
    <s v="New Customer"/>
    <x v="1"/>
    <x v="3"/>
    <n v="6"/>
    <x v="246"/>
    <n v="35000"/>
    <s v="Delivered"/>
    <s v="Satisfied"/>
    <s v="No"/>
    <x v="0"/>
  </r>
  <r>
    <x v="249"/>
    <s v="CUST-0129"/>
    <s v="Rizky Wijaya"/>
    <d v="2026-06-26T00:00:00"/>
    <x v="0"/>
    <s v="Bandung"/>
    <x v="0"/>
    <s v="Corporate"/>
    <x v="0"/>
    <x v="1"/>
    <n v="7"/>
    <x v="247"/>
    <n v="25000"/>
    <s v="Delivered"/>
    <s v="Satisfied"/>
    <s v="Yes"/>
    <x v="0"/>
  </r>
  <r>
    <x v="250"/>
    <s v="CUST-0208"/>
    <s v="Raka Lestari"/>
    <d v="2026-03-27T00:00:00"/>
    <x v="4"/>
    <s v="Jakarta"/>
    <x v="3"/>
    <s v="Returning Customer"/>
    <x v="2"/>
    <x v="1"/>
    <n v="7"/>
    <x v="248"/>
    <n v="15000"/>
    <s v="Delivered"/>
    <s v="Neutral"/>
    <s v="No"/>
    <x v="0"/>
  </r>
  <r>
    <x v="251"/>
    <s v="CUST-0209"/>
    <s v="Nadia Putri"/>
    <d v="2026-06-18T00:00:00"/>
    <x v="0"/>
    <s v="Medan"/>
    <x v="1"/>
    <s v="Vip"/>
    <x v="2"/>
    <x v="1"/>
    <n v="5"/>
    <x v="249"/>
    <n v="0"/>
    <s v="Delivered"/>
    <s v="Satisfied"/>
    <s v="Yes"/>
    <x v="1"/>
  </r>
  <r>
    <x v="252"/>
    <s v="CUST-0136"/>
    <s v="Maya Permata"/>
    <d v="2026-03-14T00:00:00"/>
    <x v="4"/>
    <s v="Makassar"/>
    <x v="2"/>
    <s v="New Customer"/>
    <x v="3"/>
    <x v="3"/>
    <n v="6"/>
    <x v="250"/>
    <n v="15000"/>
    <s v="Delayed"/>
    <s v="Satisfied"/>
    <s v="No"/>
    <x v="0"/>
  </r>
  <r>
    <x v="253"/>
    <s v="CUST-0168"/>
    <s v="Bima Putri"/>
    <d v="2026-02-11T00:00:00"/>
    <x v="2"/>
    <s v="Bandung"/>
    <x v="0"/>
    <s v="Returning Customer"/>
    <x v="3"/>
    <x v="0"/>
    <n v="6"/>
    <x v="251"/>
    <n v="35000"/>
    <s v="Delivered"/>
    <s v="Neutral"/>
    <s v="Yes"/>
    <x v="0"/>
  </r>
  <r>
    <x v="254"/>
    <s v="CUST-0093"/>
    <s v="Citra Lestari"/>
    <d v="2026-05-28T00:00:00"/>
    <x v="5"/>
    <s v="Jakarta"/>
    <x v="3"/>
    <s v="New Customer"/>
    <x v="0"/>
    <x v="1"/>
    <n v="4"/>
    <x v="252"/>
    <n v="15000"/>
    <s v="Returned"/>
    <s v="Dissatisfied"/>
    <s v="Yes"/>
    <x v="0"/>
  </r>
  <r>
    <x v="255"/>
    <s v="CUST-0014"/>
    <s v="Citra Dewi"/>
    <d v="2026-01-31T00:00:00"/>
    <x v="1"/>
    <s v="Medan"/>
    <x v="1"/>
    <s v="Returning Customer"/>
    <x v="4"/>
    <x v="2"/>
    <n v="5"/>
    <x v="253"/>
    <n v="25000"/>
    <s v="Delivered"/>
    <s v="Very Satisfied"/>
    <s v="Yes"/>
    <x v="0"/>
  </r>
  <r>
    <x v="256"/>
    <s v="CUST-0102"/>
    <s v="Rizky Santoso"/>
    <d v="2026-05-06T00:00:00"/>
    <x v="5"/>
    <s v="Jkt"/>
    <x v="3"/>
    <s v="Corporate"/>
    <x v="3"/>
    <x v="1"/>
    <n v="2"/>
    <x v="254"/>
    <n v="50000"/>
    <s v="Delivered"/>
    <s v="Satisfied"/>
    <s v="No"/>
    <x v="0"/>
  </r>
  <r>
    <x v="257"/>
    <s v="CUST-0162"/>
    <s v="Sari Putri"/>
    <d v="2026-06-17T00:00:00"/>
    <x v="0"/>
    <s v="Medan"/>
    <x v="1"/>
    <s v="Returning Customer"/>
    <x v="4"/>
    <x v="4"/>
    <n v="1"/>
    <x v="255"/>
    <n v="25000"/>
    <s v="Delivered"/>
    <s v="Very Satisfied"/>
    <s v="No"/>
    <x v="0"/>
  </r>
  <r>
    <x v="258"/>
    <s v="CUST-0071"/>
    <s v="Fajar Dewi"/>
    <d v="2026-06-27T00:00:00"/>
    <x v="0"/>
    <s v="Medan"/>
    <x v="1"/>
    <s v="Vip"/>
    <x v="1"/>
    <x v="0"/>
    <n v="2"/>
    <x v="256"/>
    <n v="50000"/>
    <s v="Delivered"/>
    <s v="Dissatisfied"/>
    <s v="Yes"/>
    <x v="0"/>
  </r>
  <r>
    <x v="259"/>
    <s v="CUST-0084"/>
    <s v="Sari Putri"/>
    <d v="2026-01-17T00:00:00"/>
    <x v="1"/>
    <s v="Makassar"/>
    <x v="2"/>
    <s v="Corporate"/>
    <x v="4"/>
    <x v="4"/>
    <n v="4"/>
    <x v="257"/>
    <n v="15000"/>
    <s v="Delayed"/>
    <s v="Neutral"/>
    <s v="Yes"/>
    <x v="0"/>
  </r>
  <r>
    <x v="260"/>
    <s v="CUST-0193"/>
    <s v="Citra Santoso"/>
    <d v="2026-02-23T00:00:00"/>
    <x v="2"/>
    <s v="Makassar"/>
    <x v="2"/>
    <s v="Corporate"/>
    <x v="0"/>
    <x v="2"/>
    <n v="7"/>
    <x v="59"/>
    <n v="15000"/>
    <s v="Delivered"/>
    <s v="Very Satisfied"/>
    <s v="Yes"/>
    <x v="3"/>
  </r>
  <r>
    <x v="261"/>
    <s v="CUST-0033"/>
    <s v="Rizky Permata"/>
    <d v="2026-05-28T00:00:00"/>
    <x v="5"/>
    <s v="Jakarta"/>
    <x v="3"/>
    <s v="New Customer"/>
    <x v="4"/>
    <x v="4"/>
    <n v="1"/>
    <x v="258"/>
    <n v="15000"/>
    <s v="Delivered"/>
    <s v="Neutral"/>
    <s v="No"/>
    <x v="0"/>
  </r>
  <r>
    <x v="262"/>
    <s v="CUST-0094"/>
    <s v="Maya Putri"/>
    <d v="2026-05-20T00:00:00"/>
    <x v="5"/>
    <s v="Makassar"/>
    <x v="2"/>
    <s v="Vip"/>
    <x v="3"/>
    <x v="4"/>
    <n v="6"/>
    <x v="259"/>
    <n v="35000"/>
    <s v="Delivered"/>
    <s v="Very Satisfied"/>
    <s v="No"/>
    <x v="0"/>
  </r>
  <r>
    <x v="263"/>
    <s v="CUST-0036"/>
    <s v="Fajar Santoso"/>
    <d v="2026-05-28T00:00:00"/>
    <x v="5"/>
    <s v="Makassar"/>
    <x v="2"/>
    <s v="Returning Customer"/>
    <x v="3"/>
    <x v="2"/>
    <n v="5"/>
    <x v="260"/>
    <n v="25000"/>
    <s v="Cancelled"/>
    <m/>
    <s v="Yes"/>
    <x v="6"/>
  </r>
  <r>
    <x v="264"/>
    <s v="CUST-0061"/>
    <s v="Rizky Dewi"/>
    <d v="2026-01-10T00:00:00"/>
    <x v="1"/>
    <s v="Makassar"/>
    <x v="2"/>
    <s v="Returning Customer"/>
    <x v="1"/>
    <x v="3"/>
    <n v="3"/>
    <x v="261"/>
    <n v="15000"/>
    <s v="Delayed"/>
    <s v="Satisfied"/>
    <s v="No"/>
    <x v="0"/>
  </r>
  <r>
    <x v="265"/>
    <s v="CUST-0033"/>
    <s v="Rizky Permata"/>
    <d v="2026-06-09T00:00:00"/>
    <x v="0"/>
    <s v="Bandung"/>
    <x v="0"/>
    <s v="Corporate"/>
    <x v="2"/>
    <x v="2"/>
    <n v="5"/>
    <x v="262"/>
    <n v="0"/>
    <s v="Delivered"/>
    <s v="Satisfied"/>
    <s v="No"/>
    <x v="1"/>
  </r>
  <r>
    <x v="266"/>
    <s v="CUST-0174"/>
    <s v="Alya Wijaya"/>
    <d v="2026-04-19T00:00:00"/>
    <x v="3"/>
    <s v="Bandung"/>
    <x v="0"/>
    <s v="Vip"/>
    <x v="1"/>
    <x v="4"/>
    <n v="2"/>
    <x v="263"/>
    <n v="50000"/>
    <s v="Delivered"/>
    <s v="Satisfied"/>
    <s v="Yes"/>
    <x v="0"/>
  </r>
  <r>
    <x v="267"/>
    <s v="CUST-0108"/>
    <s v="Bima Dewi"/>
    <d v="2026-02-09T00:00:00"/>
    <x v="2"/>
    <s v="Jakarta"/>
    <x v="3"/>
    <s v="Vip"/>
    <x v="4"/>
    <x v="4"/>
    <n v="4"/>
    <x v="264"/>
    <n v="35000"/>
    <s v="Delivered"/>
    <s v="Satisfied"/>
    <s v="Yes"/>
    <x v="0"/>
  </r>
  <r>
    <x v="268"/>
    <s v="CUST-0176"/>
    <s v="Rizky Dewi"/>
    <d v="2026-05-21T00:00:00"/>
    <x v="5"/>
    <s v="Surabaya"/>
    <x v="4"/>
    <s v="Vip"/>
    <x v="5"/>
    <x v="0"/>
    <n v="3"/>
    <x v="265"/>
    <n v="0"/>
    <s v="Delivered"/>
    <s v="Satisfied"/>
    <s v="No"/>
    <x v="1"/>
  </r>
  <r>
    <x v="269"/>
    <s v="CUST-0003"/>
    <s v="Bima Wijaya"/>
    <d v="2026-01-26T00:00:00"/>
    <x v="1"/>
    <s v="Makassar"/>
    <x v="2"/>
    <s v="Vip"/>
    <x v="1"/>
    <x v="1"/>
    <n v="4"/>
    <x v="266"/>
    <n v="15000"/>
    <s v="Returned"/>
    <s v="Satisfied"/>
    <s v="Yes"/>
    <x v="0"/>
  </r>
  <r>
    <x v="270"/>
    <s v="CUST-0136"/>
    <s v="Maya Permata"/>
    <d v="2026-03-31T00:00:00"/>
    <x v="4"/>
    <s v="Bandung"/>
    <x v="0"/>
    <s v="Vip"/>
    <x v="2"/>
    <x v="0"/>
    <n v="3"/>
    <x v="267"/>
    <n v="50000"/>
    <s v="Delivered"/>
    <s v="Neutral"/>
    <s v="No"/>
    <x v="0"/>
  </r>
  <r>
    <x v="271"/>
    <s v="CUST-0207"/>
    <s v="Fajar Santoso"/>
    <d v="2026-06-23T00:00:00"/>
    <x v="0"/>
    <s v="Surabaya"/>
    <x v="4"/>
    <s v="New Customer"/>
    <x v="3"/>
    <x v="4"/>
    <n v="5"/>
    <x v="268"/>
    <n v="50000"/>
    <s v="Delayed"/>
    <s v="Neutral"/>
    <s v="Yes"/>
    <x v="0"/>
  </r>
  <r>
    <x v="272"/>
    <s v="CUST-0169"/>
    <s v="Citra Permata"/>
    <d v="2026-02-02T00:00:00"/>
    <x v="2"/>
    <s v="Surabaya"/>
    <x v="4"/>
    <s v="Returning Customer"/>
    <x v="3"/>
    <x v="4"/>
    <n v="5"/>
    <x v="269"/>
    <n v="35000"/>
    <s v="Delivered"/>
    <s v="Very Satisfied"/>
    <s v="No"/>
    <x v="0"/>
  </r>
  <r>
    <x v="273"/>
    <s v="CUST-0181"/>
    <s v="Nadia Lestari"/>
    <d v="2026-04-28T00:00:00"/>
    <x v="3"/>
    <s v="Medan"/>
    <x v="1"/>
    <s v="Returning Customer"/>
    <x v="0"/>
    <x v="2"/>
    <n v="3"/>
    <x v="270"/>
    <n v="35000"/>
    <s v="Delayed"/>
    <s v="Satisfied"/>
    <s v="No"/>
    <x v="0"/>
  </r>
  <r>
    <x v="274"/>
    <s v="CUST-0105"/>
    <s v="Bima Santoso"/>
    <d v="2026-03-22T00:00:00"/>
    <x v="4"/>
    <s v="Bandung"/>
    <x v="0"/>
    <s v="New Customer"/>
    <x v="4"/>
    <x v="3"/>
    <n v="1"/>
    <x v="271"/>
    <n v="0"/>
    <s v="Delivered"/>
    <s v="Dissatisfied"/>
    <s v="No"/>
    <x v="1"/>
  </r>
  <r>
    <x v="275"/>
    <s v="CUST-0207"/>
    <s v="Fajar Santoso"/>
    <d v="2026-01-03T00:00:00"/>
    <x v="1"/>
    <s v="Makassar"/>
    <x v="2"/>
    <s v="New Customer"/>
    <x v="2"/>
    <x v="2"/>
    <n v="6"/>
    <x v="272"/>
    <n v="50000"/>
    <s v="Delivered"/>
    <s v=" satisfied "/>
    <s v="Yes"/>
    <x v="0"/>
  </r>
  <r>
    <x v="276"/>
    <s v="CUST-0234"/>
    <s v="Dimas Santoso"/>
    <d v="2026-01-02T00:00:00"/>
    <x v="1"/>
    <s v="Makassar"/>
    <x v="2"/>
    <s v="New Customer"/>
    <x v="1"/>
    <x v="1"/>
    <n v="6"/>
    <x v="273"/>
    <n v="50000"/>
    <s v="Delivered"/>
    <s v="Dissatisfied"/>
    <s v="Yes"/>
    <x v="0"/>
  </r>
  <r>
    <x v="277"/>
    <s v="CUST-0173"/>
    <s v="Alya Dewi"/>
    <d v="2026-05-15T00:00:00"/>
    <x v="5"/>
    <s v="Surabaya"/>
    <x v="4"/>
    <s v="New Customer"/>
    <x v="2"/>
    <x v="1"/>
    <n v="1"/>
    <x v="274"/>
    <n v="15000"/>
    <s v="Delivered"/>
    <s v="Very Satisfied"/>
    <s v="No"/>
    <x v="0"/>
  </r>
  <r>
    <x v="278"/>
    <s v="CUST-0044"/>
    <s v="Rizky Lestari"/>
    <d v="2026-04-06T00:00:00"/>
    <x v="3"/>
    <s v="Jakarta"/>
    <x v="3"/>
    <s v="Vip"/>
    <x v="0"/>
    <x v="1"/>
    <n v="6"/>
    <x v="275"/>
    <n v="25000"/>
    <s v="Delivered"/>
    <s v="Satisfied"/>
    <s v="No"/>
    <x v="0"/>
  </r>
  <r>
    <x v="279"/>
    <s v="CUST-0068"/>
    <s v="Citra Dewi"/>
    <d v="2026-02-24T00:00:00"/>
    <x v="2"/>
    <s v="Makassar"/>
    <x v="2"/>
    <s v="New Customer"/>
    <x v="2"/>
    <x v="4"/>
    <n v="4"/>
    <x v="276"/>
    <n v="50000"/>
    <s v="Delivered"/>
    <s v="Very Satisfied"/>
    <s v="No"/>
    <x v="0"/>
  </r>
  <r>
    <x v="280"/>
    <s v="CUST-0015"/>
    <s v="Alya Santoso"/>
    <d v="2026-04-02T00:00:00"/>
    <x v="3"/>
    <s v="Jakarta"/>
    <x v="3"/>
    <s v="Vip"/>
    <x v="3"/>
    <x v="0"/>
    <n v="4"/>
    <x v="277"/>
    <n v="50000"/>
    <s v=" delivered "/>
    <s v="Satisfied"/>
    <s v="No"/>
    <x v="0"/>
  </r>
  <r>
    <x v="281"/>
    <s v="CUST-0091"/>
    <s v="Rizky Pratama"/>
    <d v="2026-01-03T00:00:00"/>
    <x v="1"/>
    <s v="Bandung"/>
    <x v="0"/>
    <s v="Corporate"/>
    <x v="4"/>
    <x v="1"/>
    <n v="4"/>
    <x v="278"/>
    <n v="35000"/>
    <s v="Delivered"/>
    <s v="Satisfied"/>
    <s v="Yes"/>
    <x v="0"/>
  </r>
  <r>
    <x v="282"/>
    <s v="CUST-0040"/>
    <s v="Rizky Putri"/>
    <d v="2026-06-18T00:00:00"/>
    <x v="0"/>
    <s v="Medan"/>
    <x v="1"/>
    <s v="Returning Customer"/>
    <x v="1"/>
    <x v="3"/>
    <n v="4"/>
    <x v="279"/>
    <n v="15000"/>
    <s v="Delivered"/>
    <s v="Very Satisfied"/>
    <s v="Yes"/>
    <x v="0"/>
  </r>
  <r>
    <x v="283"/>
    <s v="CUST-0113"/>
    <s v="Raka Dewi"/>
    <d v="2026-06-18T00:00:00"/>
    <x v="0"/>
    <s v="Surabaya"/>
    <x v="4"/>
    <s v="Returning Customer"/>
    <x v="4"/>
    <x v="0"/>
    <n v="2"/>
    <x v="280"/>
    <n v="15000"/>
    <s v="Delivered"/>
    <s v="Satisfied"/>
    <s v="No"/>
    <x v="0"/>
  </r>
  <r>
    <x v="284"/>
    <s v="CUST-0011"/>
    <s v="Maya Saputra"/>
    <d v="2026-02-04T00:00:00"/>
    <x v="2"/>
    <s v="Bandung"/>
    <x v="0"/>
    <s v="Corporate"/>
    <x v="3"/>
    <x v="3"/>
    <n v="6"/>
    <x v="281"/>
    <n v="35000"/>
    <s v="Delivered"/>
    <s v="Very Satisfied"/>
    <s v="Yes"/>
    <x v="0"/>
  </r>
  <r>
    <x v="285"/>
    <s v="CUST-0108"/>
    <s v="Bima Dewi"/>
    <d v="2026-05-06T00:00:00"/>
    <x v="5"/>
    <s v="Medan"/>
    <x v="1"/>
    <s v="Corporate"/>
    <x v="5"/>
    <x v="2"/>
    <n v="7"/>
    <x v="282"/>
    <n v="35000"/>
    <s v="Delivered"/>
    <s v="Very Satisfied"/>
    <s v="Yes"/>
    <x v="0"/>
  </r>
  <r>
    <x v="286"/>
    <s v="CUST-0203"/>
    <s v="Maya Permata"/>
    <d v="2026-01-06T00:00:00"/>
    <x v="1"/>
    <s v="Bandung"/>
    <x v="0"/>
    <s v="New Customer"/>
    <x v="3"/>
    <x v="3"/>
    <n v="3"/>
    <x v="283"/>
    <n v="15000"/>
    <s v="Delivered"/>
    <s v="Satisfied"/>
    <s v="No"/>
    <x v="0"/>
  </r>
  <r>
    <x v="287"/>
    <s v="CUST-0153"/>
    <s v="Fajar Santoso"/>
    <d v="2026-01-03T00:00:00"/>
    <x v="1"/>
    <s v="Medan"/>
    <x v="1"/>
    <s v="Returning Customer"/>
    <x v="1"/>
    <x v="0"/>
    <n v="3"/>
    <x v="284"/>
    <n v="35000"/>
    <s v="Delivered"/>
    <s v="Very Satisfied"/>
    <s v="Yes"/>
    <x v="0"/>
  </r>
  <r>
    <x v="288"/>
    <s v="CUST-0064"/>
    <s v="Citra Wijaya"/>
    <d v="2026-03-13T00:00:00"/>
    <x v="4"/>
    <s v="Bandung"/>
    <x v="0"/>
    <s v="Corporate"/>
    <x v="3"/>
    <x v="2"/>
    <n v="6"/>
    <x v="285"/>
    <n v="25000"/>
    <s v="Delivered"/>
    <s v="Neutral"/>
    <s v="Yes"/>
    <x v="0"/>
  </r>
  <r>
    <x v="289"/>
    <s v="CUST-0049"/>
    <s v="Rizky Wijaya"/>
    <d v="2026-06-01T00:00:00"/>
    <x v="0"/>
    <s v="Bandung"/>
    <x v="0"/>
    <s v="Returning Customer"/>
    <x v="2"/>
    <x v="2"/>
    <n v="1"/>
    <x v="286"/>
    <n v="15000"/>
    <s v="Delivered"/>
    <s v="Very Satisfied"/>
    <s v="Yes"/>
    <x v="0"/>
  </r>
  <r>
    <x v="290"/>
    <s v="CUST-0024"/>
    <s v="Nadia Lestari"/>
    <d v="1970-01-01T00:00:00"/>
    <x v="1"/>
    <s v="Bandung"/>
    <x v="0"/>
    <s v="Returning Customer"/>
    <x v="0"/>
    <x v="1"/>
    <m/>
    <x v="287"/>
    <n v="35000"/>
    <s v="Delivered"/>
    <s v="Satisfied"/>
    <s v="No"/>
    <x v="10"/>
  </r>
  <r>
    <x v="291"/>
    <s v="cust-0016"/>
    <s v="Alya Dewi"/>
    <d v="2026-05-11T00:00:00"/>
    <x v="5"/>
    <s v="Surabaya"/>
    <x v="4"/>
    <s v="Corporate"/>
    <x v="5"/>
    <x v="3"/>
    <n v="3"/>
    <x v="288"/>
    <n v="0"/>
    <s v="Delivered"/>
    <s v="Satisfied"/>
    <s v="Yes"/>
    <x v="1"/>
  </r>
  <r>
    <x v="292"/>
    <s v="CUST-0047"/>
    <s v="Citra Putri"/>
    <d v="2026-01-11T00:00:00"/>
    <x v="1"/>
    <s v="Medan"/>
    <x v="1"/>
    <s v="Vip"/>
    <x v="1"/>
    <x v="2"/>
    <n v="6"/>
    <x v="289"/>
    <n v="0"/>
    <s v="Delivered"/>
    <s v="Very Satisfied"/>
    <s v="No"/>
    <x v="1"/>
  </r>
  <r>
    <x v="293"/>
    <s v="CUST-0048"/>
    <s v="Rizky Wijaya"/>
    <d v="2026-03-06T00:00:00"/>
    <x v="4"/>
    <s v="Jkt"/>
    <x v="3"/>
    <s v="Returning Customer"/>
    <x v="0"/>
    <x v="3"/>
    <n v="3"/>
    <x v="290"/>
    <n v="25000"/>
    <s v="Delivered"/>
    <s v="Very Satisfied"/>
    <s v="No"/>
    <x v="0"/>
  </r>
  <r>
    <x v="294"/>
    <s v="CUST-0191"/>
    <s v="Fajar Pratama"/>
    <d v="2026-05-31T00:00:00"/>
    <x v="5"/>
    <s v="Makassar"/>
    <x v="2"/>
    <s v="Corporate"/>
    <x v="4"/>
    <x v="2"/>
    <n v="3"/>
    <x v="291"/>
    <n v="50000"/>
    <s v="Delivered"/>
    <s v="Very Satisfied"/>
    <s v="Yes"/>
    <x v="0"/>
  </r>
  <r>
    <x v="295"/>
    <s v="CUST-0162"/>
    <s v="Sari Putri"/>
    <d v="2026-06-04T00:00:00"/>
    <x v="0"/>
    <s v="Bandung"/>
    <x v="0"/>
    <s v="Corporate"/>
    <x v="4"/>
    <x v="2"/>
    <n v="5"/>
    <x v="292"/>
    <n v="0"/>
    <s v="Returned"/>
    <s v="Dissatisfied"/>
    <s v="No"/>
    <x v="1"/>
  </r>
  <r>
    <x v="296"/>
    <s v="CUST-0078"/>
    <s v="Maya Pratama"/>
    <d v="2026-05-02T00:00:00"/>
    <x v="5"/>
    <s v="Medan"/>
    <x v="1"/>
    <s v="Vip"/>
    <x v="1"/>
    <x v="3"/>
    <n v="6"/>
    <x v="293"/>
    <n v="50000"/>
    <s v="Delivered"/>
    <s v="Very Satisfied"/>
    <s v="No"/>
    <x v="0"/>
  </r>
  <r>
    <x v="297"/>
    <s v="CUST-0115"/>
    <s v="Alya Saputra"/>
    <d v="2026-06-11T00:00:00"/>
    <x v="0"/>
    <s v="Makassar"/>
    <x v="2"/>
    <s v="New Customer"/>
    <x v="5"/>
    <x v="4"/>
    <n v="1"/>
    <x v="294"/>
    <n v="35000"/>
    <s v="Delivered"/>
    <s v="Satisfied"/>
    <s v="No"/>
    <x v="0"/>
  </r>
  <r>
    <x v="298"/>
    <s v="CUST-0179"/>
    <s v="Fajar Pratama"/>
    <d v="2026-02-03T00:00:00"/>
    <x v="2"/>
    <s v="Bandung"/>
    <x v="0"/>
    <s v="Corporate"/>
    <x v="2"/>
    <x v="4"/>
    <n v="5"/>
    <x v="295"/>
    <n v="0"/>
    <s v="Delivered"/>
    <s v="Dissatisfied"/>
    <s v="Yes"/>
    <x v="1"/>
  </r>
  <r>
    <x v="299"/>
    <s v="CUST-0043"/>
    <s v="Maya Permata"/>
    <d v="2026-04-23T00:00:00"/>
    <x v="3"/>
    <s v="Surabaya"/>
    <x v="4"/>
    <s v="Returning Customer"/>
    <x v="5"/>
    <x v="2"/>
    <n v="5"/>
    <x v="296"/>
    <n v="35000"/>
    <s v="Delivered"/>
    <s v="Satisfied"/>
    <s v="Yes"/>
    <x v="0"/>
  </r>
  <r>
    <x v="300"/>
    <s v="CUST-0147"/>
    <s v="Bima Permata"/>
    <d v="2026-02-25T00:00:00"/>
    <x v="2"/>
    <s v="Surabaya"/>
    <x v="4"/>
    <s v="Vip"/>
    <x v="5"/>
    <x v="3"/>
    <n v="4"/>
    <x v="297"/>
    <n v="50000"/>
    <s v="Delivered"/>
    <s v="Satisfied"/>
    <s v="No"/>
    <x v="0"/>
  </r>
  <r>
    <x v="301"/>
    <s v="CUST-0142"/>
    <s v="Rizky Lestari"/>
    <d v="2026-01-31T00:00:00"/>
    <x v="1"/>
    <s v="Bandung"/>
    <x v="0"/>
    <s v="Vip"/>
    <x v="5"/>
    <x v="3"/>
    <n v="1"/>
    <x v="298"/>
    <n v="15000"/>
    <s v="Delivered"/>
    <s v="Very Satisfied"/>
    <s v="Yes"/>
    <x v="0"/>
  </r>
  <r>
    <x v="302"/>
    <s v="CUST-0165"/>
    <s v="Dimas Permata"/>
    <d v="2026-03-05T00:00:00"/>
    <x v="4"/>
    <s v="Makassar"/>
    <x v="2"/>
    <s v="Vip"/>
    <x v="0"/>
    <x v="2"/>
    <n v="1"/>
    <x v="299"/>
    <n v="50000"/>
    <s v="Delivered"/>
    <s v="Very Satisfied"/>
    <s v="No"/>
    <x v="0"/>
  </r>
  <r>
    <x v="303"/>
    <s v="CUST-0185"/>
    <s v="Alya Dewi"/>
    <d v="2026-02-04T00:00:00"/>
    <x v="2"/>
    <s v="Jakarta"/>
    <x v="3"/>
    <s v="Vip"/>
    <x v="5"/>
    <x v="3"/>
    <n v="3"/>
    <x v="300"/>
    <n v="50000"/>
    <s v="Delivered"/>
    <s v="Very Satisfied"/>
    <s v="Yes"/>
    <x v="0"/>
  </r>
  <r>
    <x v="304"/>
    <s v="CUST-0066"/>
    <s v="Citra Putri"/>
    <d v="2026-01-05T00:00:00"/>
    <x v="1"/>
    <s v="Surabaya"/>
    <x v="4"/>
    <s v="Returning Customer"/>
    <x v="2"/>
    <x v="0"/>
    <n v="1"/>
    <x v="301"/>
    <n v="50000"/>
    <s v="Delivered"/>
    <s v="Satisfied"/>
    <s v="No"/>
    <x v="0"/>
  </r>
  <r>
    <x v="305"/>
    <s v="CUST-0069"/>
    <s v="Fajar Saputra"/>
    <d v="2026-02-22T00:00:00"/>
    <x v="2"/>
    <s v="Surabaya"/>
    <x v="4"/>
    <s v="Returning Customer"/>
    <x v="2"/>
    <x v="2"/>
    <n v="4"/>
    <x v="302"/>
    <n v="15000"/>
    <s v="Delivered"/>
    <s v="Satisfied"/>
    <s v="No"/>
    <x v="0"/>
  </r>
  <r>
    <x v="306"/>
    <s v="CUST-0047"/>
    <s v="Citra Putri"/>
    <d v="2026-04-28T00:00:00"/>
    <x v="3"/>
    <s v="Bandung"/>
    <x v="0"/>
    <s v="Vip"/>
    <x v="4"/>
    <x v="3"/>
    <n v="2"/>
    <x v="303"/>
    <n v="15000"/>
    <s v="Delivered"/>
    <s v="Dissatisfied"/>
    <s v="Yes"/>
    <x v="0"/>
  </r>
  <r>
    <x v="307"/>
    <s v="CUST-0227"/>
    <s v="Citra Putri"/>
    <d v="2026-02-15T00:00:00"/>
    <x v="2"/>
    <s v="Bandung"/>
    <x v="0"/>
    <s v="Corporate"/>
    <x v="3"/>
    <x v="1"/>
    <n v="2"/>
    <x v="304"/>
    <n v="50000"/>
    <s v="Delivered"/>
    <s v="Very Satisfied"/>
    <s v="Yes"/>
    <x v="0"/>
  </r>
  <r>
    <x v="308"/>
    <s v="CUST-0186"/>
    <s v="Sari Santoso"/>
    <d v="2026-05-15T00:00:00"/>
    <x v="5"/>
    <s v="Jakarta"/>
    <x v="3"/>
    <s v="New Customer"/>
    <x v="3"/>
    <x v="2"/>
    <n v="5"/>
    <x v="305"/>
    <n v="0"/>
    <s v="Delivered"/>
    <s v="Satisfied"/>
    <s v="Yes"/>
    <x v="1"/>
  </r>
  <r>
    <x v="309"/>
    <s v="CUST-0064"/>
    <s v="Citra Wijaya"/>
    <d v="2026-01-22T00:00:00"/>
    <x v="1"/>
    <s v="Jakarta"/>
    <x v="3"/>
    <s v="New Customer"/>
    <x v="1"/>
    <x v="3"/>
    <n v="6"/>
    <x v="306"/>
    <n v="15000"/>
    <s v="Delivered"/>
    <s v="Neutral"/>
    <s v="Yes"/>
    <x v="0"/>
  </r>
  <r>
    <x v="310"/>
    <s v="CUST-0052"/>
    <s v="Rizky Putri"/>
    <d v="2026-02-05T00:00:00"/>
    <x v="2"/>
    <s v="Bandung"/>
    <x v="0"/>
    <s v="New Customer"/>
    <x v="1"/>
    <x v="3"/>
    <n v="4"/>
    <x v="307"/>
    <n v="50000"/>
    <s v="Delayed"/>
    <s v="Neutral"/>
    <s v="Yes"/>
    <x v="0"/>
  </r>
  <r>
    <x v="311"/>
    <s v="CUST-0006"/>
    <s v="Sari Saputra"/>
    <d v="2026-01-12T00:00:00"/>
    <x v="1"/>
    <s v="Medan"/>
    <x v="1"/>
    <s v="Returning Customer"/>
    <x v="4"/>
    <x v="0"/>
    <n v="3"/>
    <x v="308"/>
    <n v="50000"/>
    <s v="Delivered"/>
    <s v="Neutral"/>
    <s v="Yes"/>
    <x v="0"/>
  </r>
  <r>
    <x v="312"/>
    <s v="CUST-0059"/>
    <s v="Raka Wijaya"/>
    <d v="2026-04-20T00:00:00"/>
    <x v="3"/>
    <s v="Medan"/>
    <x v="1"/>
    <s v="New Customer"/>
    <x v="2"/>
    <x v="0"/>
    <n v="3"/>
    <x v="309"/>
    <n v="15000"/>
    <s v="Delivered"/>
    <s v="Very Satisfied"/>
    <s v="Yes"/>
    <x v="0"/>
  </r>
  <r>
    <x v="313"/>
    <s v="CUST-0058"/>
    <s v="Citra Wijaya"/>
    <d v="2026-01-27T00:00:00"/>
    <x v="1"/>
    <s v="Jakarta"/>
    <x v="3"/>
    <s v="New Customer"/>
    <x v="1"/>
    <x v="0"/>
    <n v="1"/>
    <x v="310"/>
    <n v="25000"/>
    <s v="Delivered"/>
    <s v="Very Satisfied"/>
    <s v="Yes"/>
    <x v="0"/>
  </r>
  <r>
    <x v="314"/>
    <s v="CUST-0110"/>
    <s v="Fajar Santoso"/>
    <d v="2026-05-16T00:00:00"/>
    <x v="5"/>
    <s v="Surabaya"/>
    <x v="4"/>
    <s v="Vip"/>
    <x v="0"/>
    <x v="2"/>
    <n v="2"/>
    <x v="311"/>
    <n v="50000"/>
    <s v="Delivered"/>
    <s v="Very Satisfied"/>
    <s v="No"/>
    <x v="0"/>
  </r>
  <r>
    <x v="315"/>
    <s v="CUST-0235"/>
    <s v="Dimas Saputra"/>
    <d v="2026-05-08T00:00:00"/>
    <x v="5"/>
    <s v="Jakarta"/>
    <x v="3"/>
    <s v="Returning Customer"/>
    <x v="3"/>
    <x v="0"/>
    <n v="7"/>
    <x v="312"/>
    <n v="25000"/>
    <s v="Cancelled"/>
    <s v="Neutral"/>
    <s v="No"/>
    <x v="0"/>
  </r>
  <r>
    <x v="316"/>
    <s v="CUST-0038"/>
    <s v="Dimas Permata"/>
    <d v="2026-04-10T00:00:00"/>
    <x v="3"/>
    <s v="Surabaya"/>
    <x v="4"/>
    <s v="Returning Customer"/>
    <x v="4"/>
    <x v="3"/>
    <n v="7"/>
    <x v="313"/>
    <n v="35000"/>
    <s v="Delivered"/>
    <s v="Satisfied"/>
    <s v="Yes"/>
    <x v="0"/>
  </r>
  <r>
    <x v="317"/>
    <s v="CUST-0047"/>
    <s v="Citra Putri"/>
    <d v="2026-04-09T00:00:00"/>
    <x v="3"/>
    <s v="Medan"/>
    <x v="1"/>
    <s v="Vip"/>
    <x v="5"/>
    <x v="0"/>
    <n v="4"/>
    <x v="314"/>
    <n v="25000"/>
    <s v="Delivered"/>
    <s v="Satisfied"/>
    <s v="No"/>
    <x v="0"/>
  </r>
  <r>
    <x v="318"/>
    <s v="CUST-0108"/>
    <s v="Bima Dewi"/>
    <d v="2026-05-21T00:00:00"/>
    <x v="5"/>
    <s v="Bandung"/>
    <x v="0"/>
    <s v="Corporate"/>
    <x v="4"/>
    <x v="4"/>
    <n v="5"/>
    <x v="315"/>
    <n v="50000"/>
    <s v="Delivered"/>
    <s v=" satisfied "/>
    <s v="No"/>
    <x v="0"/>
  </r>
  <r>
    <x v="319"/>
    <s v="CUST-0135"/>
    <s v="Nadia Putri"/>
    <d v="2026-05-28T00:00:00"/>
    <x v="5"/>
    <s v="Jakarta"/>
    <x v="3"/>
    <s v="Vip"/>
    <x v="1"/>
    <x v="1"/>
    <n v="2"/>
    <x v="316"/>
    <n v="0"/>
    <s v="Delivered"/>
    <s v="Very Satisfied"/>
    <s v="Yes"/>
    <x v="1"/>
  </r>
  <r>
    <x v="320"/>
    <s v="CUST-0236"/>
    <s v="Dimas Saputra"/>
    <d v="2026-01-29T00:00:00"/>
    <x v="1"/>
    <s v="Surabaya"/>
    <x v="4"/>
    <s v="Corporate"/>
    <x v="5"/>
    <x v="4"/>
    <n v="3"/>
    <x v="317"/>
    <n v="25000"/>
    <s v="Delayed"/>
    <s v="Dissatisfied"/>
    <s v="No"/>
    <x v="0"/>
  </r>
  <r>
    <x v="321"/>
    <s v="CUST-0063"/>
    <s v="Fajar Lestari"/>
    <d v="2026-02-23T00:00:00"/>
    <x v="2"/>
    <s v="Bandung"/>
    <x v="0"/>
    <s v="Corporate"/>
    <x v="3"/>
    <x v="2"/>
    <n v="6"/>
    <x v="318"/>
    <n v="0"/>
    <s v="Delivered"/>
    <s v="Dissatisfied"/>
    <s v="No"/>
    <x v="1"/>
  </r>
  <r>
    <x v="322"/>
    <s v="CUST-0096"/>
    <s v="Alya Saputra"/>
    <d v="2026-01-14T00:00:00"/>
    <x v="1"/>
    <s v="Bandung"/>
    <x v="0"/>
    <s v="New Customer"/>
    <x v="5"/>
    <x v="3"/>
    <n v="1"/>
    <x v="319"/>
    <n v="50000"/>
    <s v="Delivered"/>
    <s v="Satisfied"/>
    <s v="Yes"/>
    <x v="0"/>
  </r>
  <r>
    <x v="323"/>
    <s v="CUST-0021"/>
    <s v="Rizky Dewi"/>
    <d v="2026-03-04T00:00:00"/>
    <x v="4"/>
    <s v="Medan"/>
    <x v="1"/>
    <s v="Returning Customer"/>
    <x v="3"/>
    <x v="4"/>
    <n v="5"/>
    <x v="320"/>
    <n v="0"/>
    <s v=" delayed "/>
    <s v="Dissatisfied"/>
    <s v="No"/>
    <x v="1"/>
  </r>
  <r>
    <x v="324"/>
    <s v="CUST-0121"/>
    <s v="Rizky Saputra"/>
    <d v="2026-04-16T00:00:00"/>
    <x v="3"/>
    <s v="Jakarta"/>
    <x v="3"/>
    <s v="Returning Customer"/>
    <x v="4"/>
    <x v="2"/>
    <n v="7"/>
    <x v="321"/>
    <n v="35000"/>
    <s v="Delivered"/>
    <s v="Very Satisfied"/>
    <s v="Yes"/>
    <x v="0"/>
  </r>
  <r>
    <x v="325"/>
    <s v="CUST-0129"/>
    <s v="Rizky Wijaya"/>
    <d v="2026-02-11T00:00:00"/>
    <x v="2"/>
    <s v="Medan"/>
    <x v="1"/>
    <s v="Vip"/>
    <x v="1"/>
    <x v="4"/>
    <n v="7"/>
    <x v="322"/>
    <n v="35000"/>
    <s v="Delivered"/>
    <s v="Dissatisfied"/>
    <s v="No"/>
    <x v="0"/>
  </r>
  <r>
    <x v="326"/>
    <s v="CUST-0182"/>
    <s v="Nadia Lestari"/>
    <d v="2026-02-28T00:00:00"/>
    <x v="2"/>
    <s v="Bandung"/>
    <x v="0"/>
    <s v="Returning Customer"/>
    <x v="2"/>
    <x v="4"/>
    <n v="3"/>
    <x v="323"/>
    <n v="15000"/>
    <s v="Returned"/>
    <s v="Dissatisfied"/>
    <s v="Yes"/>
    <x v="0"/>
  </r>
  <r>
    <x v="327"/>
    <s v="CUST-0057"/>
    <s v="Raka Wijaya"/>
    <d v="1970-01-01T00:00:00"/>
    <x v="1"/>
    <s v="Surabaya"/>
    <x v="4"/>
    <s v="Corporate"/>
    <x v="2"/>
    <x v="0"/>
    <n v="5"/>
    <x v="59"/>
    <n v="50000"/>
    <s v="Delayed"/>
    <s v="Neutral"/>
    <s v="Yes"/>
    <x v="11"/>
  </r>
  <r>
    <x v="328"/>
    <s v="CUST-0206"/>
    <s v="Rizky Dewi"/>
    <d v="2026-04-06T00:00:00"/>
    <x v="3"/>
    <s v="Makassar"/>
    <x v="2"/>
    <s v="Vip"/>
    <x v="4"/>
    <x v="0"/>
    <n v="3"/>
    <x v="324"/>
    <n v="15000"/>
    <s v="Delivered"/>
    <s v="Very Satisfied"/>
    <s v="No"/>
    <x v="0"/>
  </r>
  <r>
    <x v="329"/>
    <s v="CUST-0042"/>
    <s v="Fajar Permata"/>
    <d v="2026-05-19T00:00:00"/>
    <x v="5"/>
    <s v="Surabaya"/>
    <x v="4"/>
    <s v="Returning Customer"/>
    <x v="1"/>
    <x v="0"/>
    <n v="2"/>
    <x v="325"/>
    <n v="0"/>
    <s v="Delivered"/>
    <s v="Satisfied"/>
    <s v="Yes"/>
    <x v="1"/>
  </r>
  <r>
    <x v="330"/>
    <s v="CUST-0062"/>
    <s v="Rizky Dewi"/>
    <d v="2026-03-10T00:00:00"/>
    <x v="4"/>
    <s v="Medan"/>
    <x v="1"/>
    <s v="New Customer"/>
    <x v="4"/>
    <x v="3"/>
    <n v="5"/>
    <x v="326"/>
    <n v="50000"/>
    <s v="Delivered"/>
    <s v="Dissatisfied"/>
    <s v="Yes"/>
    <x v="0"/>
  </r>
  <r>
    <x v="331"/>
    <s v="CUST-0080"/>
    <s v="Fajar Wijaya"/>
    <d v="2026-01-03T00:00:00"/>
    <x v="1"/>
    <s v="Medan"/>
    <x v="1"/>
    <s v="Vip"/>
    <x v="5"/>
    <x v="2"/>
    <n v="4"/>
    <x v="327"/>
    <n v="25000"/>
    <s v="Delivered"/>
    <s v="Very Satisfied"/>
    <s v="No"/>
    <x v="0"/>
  </r>
  <r>
    <x v="332"/>
    <s v="CUST-0105"/>
    <s v="Bima Santoso"/>
    <d v="2026-05-09T00:00:00"/>
    <x v="5"/>
    <s v="Medan"/>
    <x v="1"/>
    <s v="Corporate"/>
    <x v="1"/>
    <x v="2"/>
    <n v="7"/>
    <x v="328"/>
    <n v="50000"/>
    <s v="Delivered"/>
    <s v="Very Satisfied"/>
    <s v="No"/>
    <x v="0"/>
  </r>
  <r>
    <x v="333"/>
    <s v="CUST-0042"/>
    <s v="Fajar Permata"/>
    <d v="2026-02-08T00:00:00"/>
    <x v="2"/>
    <s v="Bandung"/>
    <x v="0"/>
    <s v="Returning Customer"/>
    <x v="3"/>
    <x v="0"/>
    <n v="6"/>
    <x v="329"/>
    <n v="0"/>
    <s v="Delivered"/>
    <s v="Satisfied"/>
    <s v="No"/>
    <x v="1"/>
  </r>
  <r>
    <x v="334"/>
    <s v="CUST-0115"/>
    <s v="Alya Saputra"/>
    <d v="2026-02-03T00:00:00"/>
    <x v="2"/>
    <s v="Jakarta"/>
    <x v="3"/>
    <s v="Corporate"/>
    <x v="5"/>
    <x v="0"/>
    <n v="3"/>
    <x v="330"/>
    <n v="25000"/>
    <s v="Delivered"/>
    <s v="Dissatisfied"/>
    <s v="Yes"/>
    <x v="0"/>
  </r>
  <r>
    <x v="335"/>
    <s v="CUST-0040"/>
    <s v="Rizky Putri"/>
    <d v="2026-05-26T00:00:00"/>
    <x v="5"/>
    <s v="Surabaya"/>
    <x v="4"/>
    <s v="New Customer"/>
    <x v="2"/>
    <x v="2"/>
    <n v="7"/>
    <x v="331"/>
    <n v="0"/>
    <s v="Delivered"/>
    <s v="Satisfied"/>
    <s v="No"/>
    <x v="1"/>
  </r>
  <r>
    <x v="336"/>
    <s v="CUST-0081"/>
    <s v="Citra Saputra"/>
    <d v="2026-02-13T00:00:00"/>
    <x v="2"/>
    <s v="Jakarta"/>
    <x v="3"/>
    <s v="New Customer"/>
    <x v="5"/>
    <x v="1"/>
    <n v="1"/>
    <x v="332"/>
    <n v="15000"/>
    <s v="Delivered"/>
    <s v="Satisfied"/>
    <s v="No"/>
    <x v="0"/>
  </r>
  <r>
    <x v="337"/>
    <s v="CUST-0122"/>
    <s v="Citra Permata"/>
    <d v="2026-03-07T00:00:00"/>
    <x v="4"/>
    <s v="Surabaya"/>
    <x v="4"/>
    <s v="Corporate"/>
    <x v="2"/>
    <x v="4"/>
    <n v="1"/>
    <x v="333"/>
    <n v="15000"/>
    <s v="Returned"/>
    <s v="Neutral"/>
    <s v="Yes"/>
    <x v="0"/>
  </r>
  <r>
    <x v="338"/>
    <s v="CUST-0113"/>
    <s v="Raka Dewi"/>
    <d v="2026-04-04T00:00:00"/>
    <x v="3"/>
    <s v="Makassar"/>
    <x v="2"/>
    <s v="Corporate"/>
    <x v="0"/>
    <x v="2"/>
    <n v="3"/>
    <x v="334"/>
    <n v="50000"/>
    <s v="Delivered"/>
    <s v="Satisfied"/>
    <s v="Yes"/>
    <x v="0"/>
  </r>
  <r>
    <x v="339"/>
    <s v="CUST-0190"/>
    <s v="Maya Dewi"/>
    <d v="2026-03-04T00:00:00"/>
    <x v="4"/>
    <s v="Medan"/>
    <x v="1"/>
    <s v="New Customer"/>
    <x v="5"/>
    <x v="1"/>
    <n v="2"/>
    <x v="335"/>
    <n v="0"/>
    <s v="Delayed"/>
    <s v="Satisfied"/>
    <s v="No"/>
    <x v="1"/>
  </r>
  <r>
    <x v="340"/>
    <s v="CUST-0172"/>
    <s v="Dimas Dewi"/>
    <d v="2026-01-24T00:00:00"/>
    <x v="1"/>
    <s v="Medan"/>
    <x v="1"/>
    <s v="New Customer"/>
    <x v="4"/>
    <x v="0"/>
    <n v="4"/>
    <x v="336"/>
    <n v="35000"/>
    <s v="Delivered"/>
    <s v="Neutral"/>
    <s v="Yes"/>
    <x v="0"/>
  </r>
  <r>
    <x v="341"/>
    <s v="CUST-0235"/>
    <s v="Dimas Saputra"/>
    <d v="2026-04-12T00:00:00"/>
    <x v="3"/>
    <s v="Makassar"/>
    <x v="2"/>
    <s v="Corporate"/>
    <x v="5"/>
    <x v="1"/>
    <n v="4"/>
    <x v="337"/>
    <n v="15000"/>
    <s v="Delivered"/>
    <s v="Very Satisfied"/>
    <s v="Yes"/>
    <x v="0"/>
  </r>
  <r>
    <x v="342"/>
    <s v="CUST-0072"/>
    <s v="Dimas Lestari"/>
    <d v="2026-04-27T00:00:00"/>
    <x v="3"/>
    <s v="Bandung"/>
    <x v="0"/>
    <s v="Vip"/>
    <x v="1"/>
    <x v="2"/>
    <n v="2"/>
    <x v="338"/>
    <n v="50000"/>
    <s v="Cancelled"/>
    <s v="Very Satisfied"/>
    <s v="No"/>
    <x v="4"/>
  </r>
  <r>
    <x v="343"/>
    <s v="CUST-0016"/>
    <s v="Alya Dewi"/>
    <d v="2026-04-03T00:00:00"/>
    <x v="3"/>
    <s v="Medan"/>
    <x v="1"/>
    <s v="Vip"/>
    <x v="0"/>
    <x v="0"/>
    <n v="2"/>
    <x v="339"/>
    <n v="35000"/>
    <s v="Delivered"/>
    <s v="Neutral"/>
    <s v="Yes"/>
    <x v="0"/>
  </r>
  <r>
    <x v="344"/>
    <s v="CUST-0037"/>
    <s v="Maya Santoso"/>
    <d v="2026-01-18T00:00:00"/>
    <x v="1"/>
    <s v="Medan"/>
    <x v="1"/>
    <s v="Returning Customer"/>
    <x v="3"/>
    <x v="3"/>
    <n v="1"/>
    <x v="340"/>
    <n v="35000"/>
    <s v="Delivered"/>
    <s v="Satisfied"/>
    <s v="Yes"/>
    <x v="0"/>
  </r>
  <r>
    <x v="345"/>
    <s v="CUST-0213"/>
    <s v="Rizky Lestari"/>
    <d v="2026-01-14T00:00:00"/>
    <x v="1"/>
    <s v="Medan"/>
    <x v="1"/>
    <s v="Corporate"/>
    <x v="2"/>
    <x v="4"/>
    <n v="3"/>
    <x v="341"/>
    <n v="35000"/>
    <s v="Returned"/>
    <s v="Satisfied"/>
    <s v="Yes"/>
    <x v="0"/>
  </r>
  <r>
    <x v="346"/>
    <s v="CUST-0179"/>
    <s v="Fajar Pratama"/>
    <d v="2026-04-22T00:00:00"/>
    <x v="3"/>
    <s v="Bandung"/>
    <x v="0"/>
    <s v="New Customer"/>
    <x v="3"/>
    <x v="4"/>
    <n v="4"/>
    <x v="342"/>
    <n v="50000"/>
    <s v="Delayed"/>
    <s v="Dissatisfied"/>
    <s v="Yes"/>
    <x v="0"/>
  </r>
  <r>
    <x v="347"/>
    <s v="CUST-0083"/>
    <s v="Fajar Saputra"/>
    <d v="2026-06-20T00:00:00"/>
    <x v="0"/>
    <s v="Surabaya"/>
    <x v="4"/>
    <s v="New Customer"/>
    <x v="3"/>
    <x v="1"/>
    <n v="2"/>
    <x v="343"/>
    <n v="0"/>
    <s v="Delayed"/>
    <s v="Neutral"/>
    <s v="No"/>
    <x v="1"/>
  </r>
  <r>
    <x v="348"/>
    <s v="CUST-0134"/>
    <s v="Citra Lestari"/>
    <d v="2026-01-01T00:00:00"/>
    <x v="1"/>
    <s v="Jakarta"/>
    <x v="3"/>
    <s v="New Customer"/>
    <x v="5"/>
    <x v="0"/>
    <n v="6"/>
    <x v="344"/>
    <n v="15000"/>
    <s v="Delivered"/>
    <s v="Dissatisfied"/>
    <s v="No"/>
    <x v="0"/>
  </r>
  <r>
    <x v="349"/>
    <s v="CUST-0179"/>
    <s v="Fajar Pratama"/>
    <d v="1970-01-01T00:00:00"/>
    <x v="1"/>
    <s v="Bandung"/>
    <x v="0"/>
    <s v="New Customer"/>
    <x v="0"/>
    <x v="3"/>
    <n v="4"/>
    <x v="345"/>
    <n v="50000"/>
    <s v="Delivered"/>
    <s v="Very Satisfied"/>
    <s v="Yes"/>
    <x v="9"/>
  </r>
  <r>
    <x v="350"/>
    <s v="CUST-0078"/>
    <s v="Maya Pratama"/>
    <d v="2026-03-20T00:00:00"/>
    <x v="4"/>
    <s v="Medan"/>
    <x v="1"/>
    <s v="Corporate"/>
    <x v="0"/>
    <x v="3"/>
    <n v="6"/>
    <x v="346"/>
    <n v="0"/>
    <s v="Delivered"/>
    <s v="Dissatisfied"/>
    <s v="No"/>
    <x v="1"/>
  </r>
  <r>
    <x v="351"/>
    <s v="CUST-0134"/>
    <s v="Citra Lestari"/>
    <d v="2026-03-27T00:00:00"/>
    <x v="4"/>
    <s v="Makassar"/>
    <x v="2"/>
    <s v="Returning Customer"/>
    <x v="1"/>
    <x v="1"/>
    <n v="4"/>
    <x v="347"/>
    <n v="15000"/>
    <s v="Delivered"/>
    <m/>
    <s v="No"/>
    <x v="6"/>
  </r>
  <r>
    <x v="352"/>
    <s v="CUST-0073"/>
    <s v="Alya Wijaya"/>
    <d v="2026-06-18T00:00:00"/>
    <x v="0"/>
    <s v="Jakarta"/>
    <x v="3"/>
    <s v="New Customer"/>
    <x v="4"/>
    <x v="2"/>
    <n v="6"/>
    <x v="348"/>
    <n v="25000"/>
    <s v="Delivered"/>
    <s v="Neutral"/>
    <s v="Yes"/>
    <x v="0"/>
  </r>
  <r>
    <x v="353"/>
    <s v="CUST-0158"/>
    <s v="Fajar Saputra"/>
    <d v="2026-04-16T00:00:00"/>
    <x v="3"/>
    <s v="Jakarta"/>
    <x v="3"/>
    <s v="Corporate"/>
    <x v="1"/>
    <x v="4"/>
    <n v="6"/>
    <x v="349"/>
    <n v="35000"/>
    <s v="Delivered"/>
    <s v="Neutral"/>
    <s v="Yes"/>
    <x v="0"/>
  </r>
  <r>
    <x v="354"/>
    <s v="CUST-0171"/>
    <s v="Rizky Putri"/>
    <d v="2026-03-16T00:00:00"/>
    <x v="4"/>
    <s v="Jakarta"/>
    <x v="3"/>
    <s v="Returning Customer"/>
    <x v="2"/>
    <x v="2"/>
    <n v="2"/>
    <x v="350"/>
    <n v="15000"/>
    <s v="Delivered"/>
    <s v="Satisfied"/>
    <s v="No"/>
    <x v="0"/>
  </r>
  <r>
    <x v="355"/>
    <s v="CUST-0204"/>
    <s v="Nadia Pratama"/>
    <d v="2026-04-29T00:00:00"/>
    <x v="3"/>
    <s v="Makassar"/>
    <x v="2"/>
    <s v="Vip"/>
    <x v="0"/>
    <x v="3"/>
    <n v="1"/>
    <x v="351"/>
    <n v="35000"/>
    <s v="Cancelled"/>
    <s v="Neutral"/>
    <s v="No"/>
    <x v="0"/>
  </r>
  <r>
    <x v="356"/>
    <s v="CUST-0215"/>
    <s v="Fajar Pratama"/>
    <d v="2026-04-17T00:00:00"/>
    <x v="3"/>
    <s v="Surabaya"/>
    <x v="4"/>
    <s v="Vip"/>
    <x v="0"/>
    <x v="0"/>
    <n v="4"/>
    <x v="352"/>
    <n v="0"/>
    <s v="Delivered"/>
    <s v="Very Satisfied"/>
    <s v="No"/>
    <x v="1"/>
  </r>
  <r>
    <x v="357"/>
    <s v="CUST-0062"/>
    <s v="Rizky Dewi"/>
    <d v="2026-05-23T00:00:00"/>
    <x v="5"/>
    <s v="Makassar"/>
    <x v="2"/>
    <s v="Corporate"/>
    <x v="5"/>
    <x v="1"/>
    <n v="5"/>
    <x v="353"/>
    <n v="15000"/>
    <s v="Delivered"/>
    <s v="Neutral"/>
    <s v="Yes"/>
    <x v="0"/>
  </r>
  <r>
    <x v="358"/>
    <s v="CUST-0104"/>
    <s v="Rizky Santoso"/>
    <d v="2026-03-23T00:00:00"/>
    <x v="4"/>
    <s v="Bandung"/>
    <x v="0"/>
    <s v="New Customer"/>
    <x v="3"/>
    <x v="4"/>
    <n v="4"/>
    <x v="354"/>
    <n v="15000"/>
    <s v="Delivered"/>
    <s v="Satisfied"/>
    <s v="No"/>
    <x v="0"/>
  </r>
  <r>
    <x v="359"/>
    <s v="CUST-0216"/>
    <s v="Raka Putri"/>
    <d v="2026-06-10T00:00:00"/>
    <x v="0"/>
    <s v="Jakarta"/>
    <x v="3"/>
    <s v="New Customer"/>
    <x v="2"/>
    <x v="2"/>
    <n v="2"/>
    <x v="355"/>
    <n v="50000"/>
    <s v="Cancelled"/>
    <s v="Very Satisfied"/>
    <s v="Yes"/>
    <x v="4"/>
  </r>
  <r>
    <x v="360"/>
    <s v="CUST-0008"/>
    <s v="Nadia Pratama"/>
    <d v="2026-06-08T00:00:00"/>
    <x v="0"/>
    <s v="Bandung"/>
    <x v="0"/>
    <s v="Corporate"/>
    <x v="3"/>
    <x v="3"/>
    <n v="5"/>
    <x v="356"/>
    <n v="0"/>
    <s v="Delivered"/>
    <s v="Satisfied"/>
    <s v="Yes"/>
    <x v="1"/>
  </r>
  <r>
    <x v="361"/>
    <s v="CUST-0062"/>
    <s v="Rizky Dewi"/>
    <d v="2026-06-17T00:00:00"/>
    <x v="0"/>
    <s v="Medan"/>
    <x v="1"/>
    <s v="Vip"/>
    <x v="3"/>
    <x v="2"/>
    <n v="2"/>
    <x v="357"/>
    <n v="25000"/>
    <s v="Delivered"/>
    <s v=" very satisfied "/>
    <s v="No"/>
    <x v="0"/>
  </r>
  <r>
    <x v="362"/>
    <s v="CUST-0022"/>
    <s v="Fajar Saputra"/>
    <d v="2026-02-06T00:00:00"/>
    <x v="2"/>
    <s v="Makassar"/>
    <x v="2"/>
    <s v="New Customer"/>
    <x v="4"/>
    <x v="0"/>
    <n v="7"/>
    <x v="358"/>
    <n v="50000"/>
    <s v="Delivered"/>
    <s v="Satisfied"/>
    <s v="No"/>
    <x v="0"/>
  </r>
  <r>
    <x v="363"/>
    <s v="CUST-0068"/>
    <s v="Citra Dewi"/>
    <d v="2026-02-16T00:00:00"/>
    <x v="2"/>
    <s v="Jakarta"/>
    <x v="3"/>
    <s v="Corporate"/>
    <x v="4"/>
    <x v="1"/>
    <n v="4"/>
    <x v="359"/>
    <n v="0"/>
    <s v="Delayed"/>
    <s v="Satisfied"/>
    <s v="Yes"/>
    <x v="1"/>
  </r>
  <r>
    <x v="364"/>
    <s v="cust-0125"/>
    <s v="Dimas Santoso"/>
    <d v="2026-06-10T00:00:00"/>
    <x v="0"/>
    <s v="Medan"/>
    <x v="1"/>
    <s v="Returning Customer"/>
    <x v="5"/>
    <x v="3"/>
    <n v="6"/>
    <x v="360"/>
    <n v="15000"/>
    <s v="Delivered"/>
    <s v="Neutral"/>
    <s v="Yes"/>
    <x v="0"/>
  </r>
  <r>
    <x v="365"/>
    <s v="CUST-0232"/>
    <s v="Sari Pratama"/>
    <d v="2026-02-15T00:00:00"/>
    <x v="2"/>
    <s v="Surabaya"/>
    <x v="4"/>
    <s v="Corporate"/>
    <x v="1"/>
    <x v="4"/>
    <n v="7"/>
    <x v="361"/>
    <n v="50000"/>
    <s v="Delivered"/>
    <s v="Dissatisfied"/>
    <s v="Yes"/>
    <x v="0"/>
  </r>
  <r>
    <x v="366"/>
    <s v="CUST-0041"/>
    <s v="Sari Putri"/>
    <d v="2026-05-14T00:00:00"/>
    <x v="5"/>
    <s v="Makassar"/>
    <x v="2"/>
    <s v="Returning Customer"/>
    <x v="5"/>
    <x v="3"/>
    <n v="2"/>
    <x v="362"/>
    <n v="0"/>
    <s v=" delivered "/>
    <s v="Satisfied"/>
    <s v="Yes"/>
    <x v="1"/>
  </r>
  <r>
    <x v="367"/>
    <s v="CUST-0231"/>
    <s v="Nadia Pratama"/>
    <d v="2026-02-25T00:00:00"/>
    <x v="2"/>
    <s v="Bdg"/>
    <x v="0"/>
    <s v="Vip"/>
    <x v="0"/>
    <x v="1"/>
    <n v="2"/>
    <x v="363"/>
    <n v="25000"/>
    <s v="Delivered"/>
    <s v="Satisfied"/>
    <s v="Yes"/>
    <x v="0"/>
  </r>
  <r>
    <x v="368"/>
    <s v="CUST-0024"/>
    <s v="Nadia Lestari"/>
    <d v="2026-03-31T00:00:00"/>
    <x v="4"/>
    <s v="Makassar"/>
    <x v="2"/>
    <s v="Corporate"/>
    <x v="5"/>
    <x v="3"/>
    <n v="4"/>
    <x v="364"/>
    <n v="25000"/>
    <s v="Delivered"/>
    <s v="Satisfied"/>
    <s v="Yes"/>
    <x v="0"/>
  </r>
  <r>
    <x v="369"/>
    <s v="CUST-0051"/>
    <s v="Rizky Dewi"/>
    <d v="2026-06-25T00:00:00"/>
    <x v="0"/>
    <s v="Surabaya"/>
    <x v="4"/>
    <s v="Returning Customer"/>
    <x v="5"/>
    <x v="1"/>
    <n v="1"/>
    <x v="365"/>
    <n v="35000"/>
    <s v="Delivered"/>
    <s v="Satisfied"/>
    <s v="No"/>
    <x v="0"/>
  </r>
  <r>
    <x v="370"/>
    <s v="CUST-0227"/>
    <s v="Citra Putri"/>
    <d v="2026-04-25T00:00:00"/>
    <x v="3"/>
    <s v="Jakarta"/>
    <x v="3"/>
    <s v="Corporate"/>
    <x v="2"/>
    <x v="0"/>
    <n v="6"/>
    <x v="366"/>
    <n v="50000"/>
    <s v="Delivered"/>
    <s v="Very Satisfied"/>
    <s v="No"/>
    <x v="0"/>
  </r>
  <r>
    <x v="371"/>
    <s v="CUST-0096"/>
    <s v="Alya Saputra"/>
    <d v="2026-06-11T00:00:00"/>
    <x v="0"/>
    <s v="Medan"/>
    <x v="1"/>
    <s v="Vip"/>
    <x v="1"/>
    <x v="4"/>
    <n v="2"/>
    <x v="367"/>
    <n v="35000"/>
    <s v="Delayed"/>
    <s v="Satisfied"/>
    <s v="No"/>
    <x v="0"/>
  </r>
  <r>
    <x v="372"/>
    <s v="CUST-0102"/>
    <s v="Rizky Santoso"/>
    <d v="2026-01-08T00:00:00"/>
    <x v="1"/>
    <s v="Surabaya"/>
    <x v="4"/>
    <s v="Returning Customer"/>
    <x v="4"/>
    <x v="0"/>
    <n v="7"/>
    <x v="368"/>
    <n v="15000"/>
    <s v="Delivered"/>
    <s v="Neutral"/>
    <s v="No"/>
    <x v="0"/>
  </r>
  <r>
    <x v="373"/>
    <s v="CUST-0096"/>
    <s v="Alya Saputra"/>
    <d v="2026-02-07T00:00:00"/>
    <x v="2"/>
    <s v="Surabaya"/>
    <x v="4"/>
    <s v="Returning Customer"/>
    <x v="2"/>
    <x v="4"/>
    <n v="1"/>
    <x v="369"/>
    <n v="0"/>
    <s v="Delivered"/>
    <s v="Very Satisfied"/>
    <s v="No"/>
    <x v="1"/>
  </r>
  <r>
    <x v="374"/>
    <s v="CUST-0231"/>
    <s v="Nadia Pratama"/>
    <d v="2026-03-01T00:00:00"/>
    <x v="4"/>
    <s v="Bandung"/>
    <x v="0"/>
    <s v="New Customer"/>
    <x v="1"/>
    <x v="3"/>
    <n v="4"/>
    <x v="370"/>
    <n v="0"/>
    <s v="Delivered"/>
    <s v="Very Satisfied"/>
    <s v="Yes"/>
    <x v="1"/>
  </r>
  <r>
    <x v="375"/>
    <s v="CUST-0147"/>
    <s v="Bima Permata"/>
    <d v="2026-06-15T00:00:00"/>
    <x v="0"/>
    <s v="Medan"/>
    <x v="1"/>
    <s v="Corporate"/>
    <x v="4"/>
    <x v="3"/>
    <n v="3"/>
    <x v="371"/>
    <n v="35000"/>
    <s v="Delayed"/>
    <s v="Very Satisfied"/>
    <s v="No"/>
    <x v="0"/>
  </r>
  <r>
    <x v="376"/>
    <s v="CUST-0031"/>
    <s v="Rizky Permata"/>
    <d v="2026-02-01T00:00:00"/>
    <x v="2"/>
    <s v="Makassar"/>
    <x v="2"/>
    <s v="New Customer"/>
    <x v="0"/>
    <x v="2"/>
    <n v="5"/>
    <x v="372"/>
    <n v="15000"/>
    <s v="Delivered"/>
    <s v="Satisfied"/>
    <s v="Yes"/>
    <x v="0"/>
  </r>
  <r>
    <x v="377"/>
    <s v="CUST-0234"/>
    <s v="Dimas Santoso"/>
    <d v="2026-04-29T00:00:00"/>
    <x v="3"/>
    <s v="Makassar"/>
    <x v="2"/>
    <s v="New Customer"/>
    <x v="0"/>
    <x v="2"/>
    <n v="7"/>
    <x v="373"/>
    <n v="15000"/>
    <s v="Returned"/>
    <s v="Neutral"/>
    <s v="Yes"/>
    <x v="0"/>
  </r>
  <r>
    <x v="378"/>
    <s v="CUST-0121"/>
    <s v="Rizky Saputra"/>
    <d v="2026-01-25T00:00:00"/>
    <x v="1"/>
    <s v="Jakarta"/>
    <x v="3"/>
    <s v="Vip"/>
    <x v="2"/>
    <x v="4"/>
    <n v="3"/>
    <x v="374"/>
    <n v="25000"/>
    <s v="Delivered"/>
    <s v="Very Satisfied"/>
    <s v="Yes"/>
    <x v="0"/>
  </r>
  <r>
    <x v="379"/>
    <s v="CUST-0101"/>
    <s v="Alya Putri"/>
    <d v="2026-03-18T00:00:00"/>
    <x v="4"/>
    <s v="Surabaya"/>
    <x v="4"/>
    <s v="New Customer"/>
    <x v="4"/>
    <x v="0"/>
    <n v="7"/>
    <x v="375"/>
    <n v="35000"/>
    <s v="Delivered"/>
    <s v="Neutral"/>
    <s v="Yes"/>
    <x v="0"/>
  </r>
  <r>
    <x v="380"/>
    <s v="CUST-0212"/>
    <s v="Maya Santoso"/>
    <d v="2026-01-03T00:00:00"/>
    <x v="1"/>
    <s v="Jakarta"/>
    <x v="3"/>
    <s v="Returning Customer"/>
    <x v="3"/>
    <x v="3"/>
    <n v="3"/>
    <x v="376"/>
    <n v="0"/>
    <s v="Delayed"/>
    <s v="Satisfied"/>
    <s v="Yes"/>
    <x v="1"/>
  </r>
  <r>
    <x v="381"/>
    <s v="CUST-0240"/>
    <s v="Citra Pratama"/>
    <d v="2026-06-26T00:00:00"/>
    <x v="0"/>
    <s v="Surabaya"/>
    <x v="4"/>
    <s v="New Customer"/>
    <x v="0"/>
    <x v="3"/>
    <n v="7"/>
    <x v="377"/>
    <n v="25000"/>
    <s v="Delivered"/>
    <s v="Very Satisfied"/>
    <s v="No"/>
    <x v="0"/>
  </r>
  <r>
    <x v="382"/>
    <s v="CUST-0070"/>
    <s v="Nadia Pratama"/>
    <d v="2026-06-28T00:00:00"/>
    <x v="0"/>
    <s v="Bandung"/>
    <x v="0"/>
    <s v="Corporate"/>
    <x v="3"/>
    <x v="1"/>
    <n v="5"/>
    <x v="378"/>
    <n v="15000"/>
    <s v="Delivered"/>
    <s v="Very Satisfied"/>
    <s v="Yes"/>
    <x v="0"/>
  </r>
  <r>
    <x v="383"/>
    <s v="CUST-0134"/>
    <s v="Citra Lestari"/>
    <d v="2026-05-16T00:00:00"/>
    <x v="5"/>
    <s v="Surabaya"/>
    <x v="4"/>
    <s v="Corporate"/>
    <x v="5"/>
    <x v="2"/>
    <n v="4"/>
    <x v="379"/>
    <n v="50000"/>
    <s v="Delivered"/>
    <s v="Dissatisfied"/>
    <s v="No"/>
    <x v="0"/>
  </r>
  <r>
    <x v="384"/>
    <s v="CUST-0197"/>
    <s v="Alya Putri"/>
    <d v="2026-03-17T00:00:00"/>
    <x v="4"/>
    <s v="Bandung"/>
    <x v="0"/>
    <s v="New Customer"/>
    <x v="4"/>
    <x v="1"/>
    <n v="5"/>
    <x v="380"/>
    <n v="25000"/>
    <s v="Delayed"/>
    <s v="Neutral"/>
    <s v="Yes"/>
    <x v="0"/>
  </r>
  <r>
    <x v="385"/>
    <s v="CUST-0055"/>
    <s v="Bima Dewi"/>
    <d v="2026-01-04T00:00:00"/>
    <x v="1"/>
    <s v="Surabaya"/>
    <x v="4"/>
    <s v="Returning Customer"/>
    <x v="1"/>
    <x v="4"/>
    <n v="7"/>
    <x v="381"/>
    <n v="35000"/>
    <s v="Delivered"/>
    <s v="Satisfied"/>
    <s v="No"/>
    <x v="0"/>
  </r>
  <r>
    <x v="386"/>
    <s v="CUST-0195"/>
    <s v="Citra Putri"/>
    <d v="2026-03-21T00:00:00"/>
    <x v="4"/>
    <s v="Bandung"/>
    <x v="0"/>
    <s v="Vip"/>
    <x v="2"/>
    <x v="1"/>
    <n v="7"/>
    <x v="382"/>
    <n v="15000"/>
    <s v="Delivered"/>
    <s v="Neutral"/>
    <s v="Yes"/>
    <x v="0"/>
  </r>
  <r>
    <x v="387"/>
    <s v="CUST-0200"/>
    <s v="Nadia Permata"/>
    <d v="2026-04-13T00:00:00"/>
    <x v="3"/>
    <s v="Makassar"/>
    <x v="2"/>
    <s v="New Customer"/>
    <x v="5"/>
    <x v="1"/>
    <m/>
    <x v="383"/>
    <n v="0"/>
    <s v="Delivered"/>
    <s v="Satisfied"/>
    <s v="Yes"/>
    <x v="7"/>
  </r>
  <r>
    <x v="388"/>
    <s v="CUST-0191"/>
    <s v="Fajar Pratama"/>
    <d v="2026-01-29T00:00:00"/>
    <x v="1"/>
    <s v="Makassar"/>
    <x v="2"/>
    <s v="Corporate"/>
    <x v="0"/>
    <x v="3"/>
    <n v="4"/>
    <x v="384"/>
    <n v="0"/>
    <s v="Delivered"/>
    <s v="Very Satisfied"/>
    <s v="Yes"/>
    <x v="1"/>
  </r>
  <r>
    <x v="389"/>
    <s v="CUST-0238"/>
    <s v="Fajar Permata"/>
    <d v="2026-05-21T00:00:00"/>
    <x v="5"/>
    <s v="Medan"/>
    <x v="1"/>
    <s v="Vip"/>
    <x v="4"/>
    <x v="1"/>
    <n v="4"/>
    <x v="385"/>
    <n v="25000"/>
    <s v="Delivered"/>
    <s v="Satisfied"/>
    <s v="No"/>
    <x v="12"/>
  </r>
  <r>
    <x v="390"/>
    <s v="CUST-0095"/>
    <s v="Alya Santoso"/>
    <d v="2026-01-26T00:00:00"/>
    <x v="1"/>
    <s v="Bandung"/>
    <x v="0"/>
    <s v="Corporate"/>
    <x v="5"/>
    <x v="4"/>
    <n v="6"/>
    <x v="386"/>
    <n v="35000"/>
    <s v="Cancelled"/>
    <s v="Very Satisfied"/>
    <s v="No"/>
    <x v="4"/>
  </r>
  <r>
    <x v="391"/>
    <s v="CUST-0136"/>
    <s v="Maya Permata"/>
    <d v="2026-06-05T00:00:00"/>
    <x v="0"/>
    <s v="Bandung"/>
    <x v="0"/>
    <s v="New Customer"/>
    <x v="5"/>
    <x v="2"/>
    <n v="4"/>
    <x v="387"/>
    <n v="50000"/>
    <s v="Delivered"/>
    <s v="Very Satisfied"/>
    <s v="Yes"/>
    <x v="0"/>
  </r>
  <r>
    <x v="392"/>
    <s v="CUST-0230"/>
    <s v="Fajar Lestari"/>
    <d v="2026-01-10T00:00:00"/>
    <x v="1"/>
    <s v="Makassar"/>
    <x v="2"/>
    <s v="Corporate"/>
    <x v="2"/>
    <x v="1"/>
    <n v="1"/>
    <x v="388"/>
    <n v="15000"/>
    <s v="Delivered"/>
    <s v="Very Satisfied"/>
    <s v="Yes"/>
    <x v="0"/>
  </r>
  <r>
    <x v="393"/>
    <s v="CUST-0057"/>
    <s v="Raka Wijaya"/>
    <d v="2026-06-27T00:00:00"/>
    <x v="0"/>
    <s v="Surabaya"/>
    <x v="4"/>
    <s v="Vip"/>
    <x v="3"/>
    <x v="2"/>
    <n v="2"/>
    <x v="389"/>
    <n v="35000"/>
    <s v="Delivered"/>
    <s v="Very Satisfied"/>
    <s v="Yes"/>
    <x v="0"/>
  </r>
  <r>
    <x v="394"/>
    <s v="CUST-0048"/>
    <s v="Rizky Wijaya"/>
    <d v="2026-05-09T00:00:00"/>
    <x v="5"/>
    <s v="Surabaya"/>
    <x v="4"/>
    <s v="New Customer"/>
    <x v="5"/>
    <x v="0"/>
    <n v="7"/>
    <x v="59"/>
    <n v="25000"/>
    <s v="Cancelled"/>
    <s v="Very Satisfied"/>
    <s v="No"/>
    <x v="3"/>
  </r>
  <r>
    <x v="395"/>
    <s v="CUST-0231"/>
    <s v="Nadia Pratama"/>
    <d v="2026-04-27T00:00:00"/>
    <x v="3"/>
    <s v="Bandung"/>
    <x v="0"/>
    <s v="Vip"/>
    <x v="4"/>
    <x v="0"/>
    <n v="6"/>
    <x v="390"/>
    <n v="0"/>
    <s v="Delivered"/>
    <s v="Very Satisfied"/>
    <s v="Yes"/>
    <x v="1"/>
  </r>
  <r>
    <x v="396"/>
    <s v="CUST-0153"/>
    <s v="Fajar Santoso"/>
    <d v="2026-04-01T00:00:00"/>
    <x v="3"/>
    <s v="Jakarta"/>
    <x v="3"/>
    <s v="New Customer"/>
    <x v="4"/>
    <x v="4"/>
    <n v="1"/>
    <x v="391"/>
    <n v="50000"/>
    <s v="Delivered"/>
    <s v="Very Satisfied"/>
    <s v="No"/>
    <x v="0"/>
  </r>
  <r>
    <x v="397"/>
    <s v="CUST-0214"/>
    <s v="Maya Pratama"/>
    <d v="2026-02-28T00:00:00"/>
    <x v="2"/>
    <s v="Jakarta"/>
    <x v="3"/>
    <s v="Vip"/>
    <x v="3"/>
    <x v="3"/>
    <n v="2"/>
    <x v="392"/>
    <n v="50000"/>
    <s v="Delivered"/>
    <s v="Neutral"/>
    <s v="No"/>
    <x v="0"/>
  </r>
  <r>
    <x v="398"/>
    <s v="CUST-0126"/>
    <s v="Fajar Wijaya"/>
    <d v="2026-03-31T00:00:00"/>
    <x v="4"/>
    <s v="Jakarta"/>
    <x v="3"/>
    <s v="Vip"/>
    <x v="0"/>
    <x v="3"/>
    <n v="6"/>
    <x v="393"/>
    <n v="25000"/>
    <s v="Delivered"/>
    <s v="Satisfied"/>
    <s v="No"/>
    <x v="0"/>
  </r>
  <r>
    <x v="399"/>
    <s v="CUST-0029"/>
    <s v="Nadia Lestari"/>
    <d v="2026-03-11T00:00:00"/>
    <x v="4"/>
    <s v="Bandung"/>
    <x v="0"/>
    <s v="Vip"/>
    <x v="2"/>
    <x v="2"/>
    <n v="2"/>
    <x v="394"/>
    <n v="0"/>
    <s v="Returned"/>
    <s v="Neutral"/>
    <s v="Yes"/>
    <x v="1"/>
  </r>
  <r>
    <x v="400"/>
    <s v="CUST-0148"/>
    <s v="Raka Pratama"/>
    <d v="2026-06-28T00:00:00"/>
    <x v="0"/>
    <s v="Medan"/>
    <x v="1"/>
    <s v="New Customer"/>
    <x v="0"/>
    <x v="4"/>
    <n v="2"/>
    <x v="395"/>
    <n v="25000"/>
    <s v="Delivered"/>
    <s v="Very Satisfied"/>
    <s v="No"/>
    <x v="0"/>
  </r>
  <r>
    <x v="401"/>
    <s v="CUST-0225"/>
    <s v="Alya Santoso"/>
    <d v="2026-05-15T00:00:00"/>
    <x v="5"/>
    <s v="Makassar"/>
    <x v="2"/>
    <s v="Corporate"/>
    <x v="0"/>
    <x v="3"/>
    <n v="6"/>
    <x v="396"/>
    <n v="25000"/>
    <s v="Delivered"/>
    <s v="Very Satisfied"/>
    <s v="Yes"/>
    <x v="0"/>
  </r>
  <r>
    <x v="402"/>
    <s v="CUST-0011"/>
    <s v="Maya Saputra"/>
    <d v="2026-05-29T00:00:00"/>
    <x v="5"/>
    <s v="Medan"/>
    <x v="1"/>
    <s v="Vip"/>
    <x v="0"/>
    <x v="2"/>
    <n v="7"/>
    <x v="397"/>
    <n v="25000"/>
    <s v="Delivered"/>
    <s v="Satisfied"/>
    <s v="Yes"/>
    <x v="0"/>
  </r>
  <r>
    <x v="403"/>
    <s v="CUST-0128"/>
    <s v="Bima Santoso"/>
    <d v="2026-06-25T00:00:00"/>
    <x v="0"/>
    <s v="Makassar"/>
    <x v="2"/>
    <s v="Returning Customer"/>
    <x v="0"/>
    <x v="1"/>
    <n v="6"/>
    <x v="398"/>
    <n v="35000"/>
    <s v="Delivered"/>
    <s v="Dissatisfied"/>
    <s v="No"/>
    <x v="0"/>
  </r>
  <r>
    <x v="404"/>
    <s v="CUST-0017"/>
    <s v="Fajar Saputra"/>
    <d v="2026-03-17T00:00:00"/>
    <x v="4"/>
    <s v="Jkt"/>
    <x v="3"/>
    <s v="New Customer"/>
    <x v="2"/>
    <x v="3"/>
    <n v="1"/>
    <x v="399"/>
    <n v="35000"/>
    <s v="Delivered"/>
    <s v=" neutral "/>
    <s v="Yes"/>
    <x v="0"/>
  </r>
  <r>
    <x v="405"/>
    <s v="CUST-0111"/>
    <s v="Fajar Wijaya"/>
    <d v="2026-04-01T00:00:00"/>
    <x v="3"/>
    <s v="Makassar"/>
    <x v="2"/>
    <s v="Returning Customer"/>
    <x v="4"/>
    <x v="3"/>
    <n v="3"/>
    <x v="400"/>
    <n v="0"/>
    <s v="Delivered"/>
    <s v="Neutral"/>
    <s v="Yes"/>
    <x v="1"/>
  </r>
  <r>
    <x v="406"/>
    <s v="CUST-0188"/>
    <s v="Citra Saputra"/>
    <d v="2026-02-20T00:00:00"/>
    <x v="2"/>
    <s v="Surabaya"/>
    <x v="4"/>
    <s v="Returning Customer"/>
    <x v="3"/>
    <x v="1"/>
    <n v="1"/>
    <x v="401"/>
    <n v="50000"/>
    <s v="Delivered"/>
    <s v="Very Satisfied"/>
    <s v="No"/>
    <x v="0"/>
  </r>
  <r>
    <x v="407"/>
    <s v="CUST-0103"/>
    <s v="Alya Pratama"/>
    <d v="2026-01-26T00:00:00"/>
    <x v="1"/>
    <s v="Surabaya"/>
    <x v="4"/>
    <s v="Returning Customer"/>
    <x v="3"/>
    <x v="0"/>
    <n v="5"/>
    <x v="402"/>
    <n v="25000"/>
    <s v="Delivered"/>
    <s v="Satisfied"/>
    <s v="No"/>
    <x v="0"/>
  </r>
  <r>
    <x v="408"/>
    <s v="CUST-0035"/>
    <s v="Maya Wijaya"/>
    <d v="1970-01-01T00:00:00"/>
    <x v="1"/>
    <s v="Medan"/>
    <x v="1"/>
    <s v="Returning Customer"/>
    <x v="2"/>
    <x v="1"/>
    <n v="3"/>
    <x v="403"/>
    <n v="15000"/>
    <s v="Delivered"/>
    <s v="Very Satisfied"/>
    <s v="Yes"/>
    <x v="9"/>
  </r>
  <r>
    <x v="409"/>
    <s v="CUST-0036"/>
    <s v="Fajar Santoso"/>
    <d v="2026-05-15T00:00:00"/>
    <x v="5"/>
    <s v="Medan"/>
    <x v="1"/>
    <s v="Vip"/>
    <x v="2"/>
    <x v="1"/>
    <n v="5"/>
    <x v="404"/>
    <n v="25000"/>
    <s v=" cancelled "/>
    <s v="Satisfied"/>
    <s v="No"/>
    <x v="4"/>
  </r>
  <r>
    <x v="410"/>
    <s v="CUST-0106"/>
    <s v="Rizky Dewi"/>
    <d v="1970-01-01T00:00:00"/>
    <x v="1"/>
    <s v="Makassar"/>
    <x v="2"/>
    <s v="Vip"/>
    <x v="5"/>
    <x v="4"/>
    <n v="1"/>
    <x v="405"/>
    <n v="50000"/>
    <s v="Returned"/>
    <s v="Dissatisfied"/>
    <s v="No"/>
    <x v="9"/>
  </r>
  <r>
    <x v="411"/>
    <s v="CUST-0033"/>
    <s v="Rizky Permata"/>
    <d v="2026-06-08T00:00:00"/>
    <x v="0"/>
    <s v="Bandung"/>
    <x v="0"/>
    <s v="Corporate"/>
    <x v="3"/>
    <x v="2"/>
    <n v="3"/>
    <x v="406"/>
    <n v="50000"/>
    <s v="Delivered"/>
    <s v="Neutral"/>
    <s v="No"/>
    <x v="0"/>
  </r>
  <r>
    <x v="412"/>
    <s v="CUST-0207"/>
    <s v="Fajar Santoso"/>
    <d v="2026-05-13T00:00:00"/>
    <x v="5"/>
    <s v="Jakarta"/>
    <x v="3"/>
    <s v="Vip"/>
    <x v="1"/>
    <x v="2"/>
    <n v="1"/>
    <x v="407"/>
    <n v="0"/>
    <s v="Delivered"/>
    <s v="Neutral"/>
    <s v="No"/>
    <x v="1"/>
  </r>
  <r>
    <x v="413"/>
    <s v="CUST-0145"/>
    <s v="Bima Lestari"/>
    <d v="2026-05-04T00:00:00"/>
    <x v="5"/>
    <s v="Jakarta"/>
    <x v="3"/>
    <s v="Returning Customer"/>
    <x v="1"/>
    <x v="0"/>
    <n v="1"/>
    <x v="408"/>
    <n v="0"/>
    <s v="Delivered"/>
    <s v="Satisfied"/>
    <s v="No"/>
    <x v="1"/>
  </r>
  <r>
    <x v="414"/>
    <s v="CUST-0035"/>
    <s v="Maya Wijaya"/>
    <d v="2026-02-27T00:00:00"/>
    <x v="2"/>
    <s v="Jakarta"/>
    <x v="3"/>
    <s v="Corporate"/>
    <x v="1"/>
    <x v="0"/>
    <n v="6"/>
    <x v="409"/>
    <n v="25000"/>
    <s v="Delivered"/>
    <s v="Dissatisfied"/>
    <s v="Yes"/>
    <x v="0"/>
  </r>
  <r>
    <x v="415"/>
    <s v="CUST-0018"/>
    <s v="Citra Santoso"/>
    <d v="2026-01-01T00:00:00"/>
    <x v="1"/>
    <s v="Jakarta"/>
    <x v="3"/>
    <s v="Corporate"/>
    <x v="4"/>
    <x v="4"/>
    <n v="1"/>
    <x v="410"/>
    <n v="50000"/>
    <s v="Delivered"/>
    <s v="Very Satisfied"/>
    <s v="No"/>
    <x v="0"/>
  </r>
  <r>
    <x v="416"/>
    <s v="CUST-0101"/>
    <s v="Alya Putri"/>
    <d v="2026-01-15T00:00:00"/>
    <x v="1"/>
    <s v="Bandung"/>
    <x v="0"/>
    <s v="Vip"/>
    <x v="1"/>
    <x v="1"/>
    <n v="4"/>
    <x v="411"/>
    <n v="25000"/>
    <s v="Delivered"/>
    <s v="Very Satisfied"/>
    <s v="Yes"/>
    <x v="0"/>
  </r>
  <r>
    <x v="417"/>
    <s v="CUST-0111"/>
    <s v="Fajar Wijaya"/>
    <d v="2026-02-07T00:00:00"/>
    <x v="2"/>
    <s v="Makassar"/>
    <x v="2"/>
    <s v="Returning Customer"/>
    <x v="2"/>
    <x v="1"/>
    <n v="2"/>
    <x v="412"/>
    <n v="15000"/>
    <s v="Delayed"/>
    <s v="Satisfied"/>
    <s v="No"/>
    <x v="0"/>
  </r>
  <r>
    <x v="418"/>
    <s v="CUST-0075"/>
    <s v="Citra Permata"/>
    <d v="2026-06-20T00:00:00"/>
    <x v="0"/>
    <s v="Medan"/>
    <x v="1"/>
    <s v="New Customer"/>
    <x v="2"/>
    <x v="1"/>
    <n v="4"/>
    <x v="413"/>
    <n v="50000"/>
    <s v="Delivered"/>
    <s v="Very Satisfied"/>
    <s v="No"/>
    <x v="0"/>
  </r>
  <r>
    <x v="419"/>
    <s v="CUST-0038"/>
    <s v="Dimas Permata"/>
    <d v="2026-01-08T00:00:00"/>
    <x v="1"/>
    <s v="Surabaya"/>
    <x v="4"/>
    <s v="New Customer"/>
    <x v="3"/>
    <x v="4"/>
    <n v="1"/>
    <x v="414"/>
    <n v="35000"/>
    <s v="Delivered"/>
    <s v="Very Satisfied"/>
    <s v="No"/>
    <x v="0"/>
  </r>
  <r>
    <x v="420"/>
    <s v="CUST-0011"/>
    <s v="Maya Saputra"/>
    <d v="2026-04-01T00:00:00"/>
    <x v="3"/>
    <s v="Bandung"/>
    <x v="0"/>
    <s v="Vip"/>
    <x v="1"/>
    <x v="4"/>
    <n v="6"/>
    <x v="415"/>
    <n v="35000"/>
    <s v="Delivered"/>
    <s v="Very Satisfied"/>
    <s v="Yes"/>
    <x v="0"/>
  </r>
  <r>
    <x v="421"/>
    <s v="CUST-0090"/>
    <s v="Fajar Pratama"/>
    <d v="2026-06-30T00:00:00"/>
    <x v="0"/>
    <s v="Surabaya"/>
    <x v="4"/>
    <s v="Vip"/>
    <x v="2"/>
    <x v="0"/>
    <n v="5"/>
    <x v="416"/>
    <n v="35000"/>
    <s v="Delivered"/>
    <s v="Satisfied"/>
    <s v="No"/>
    <x v="0"/>
  </r>
  <r>
    <x v="422"/>
    <s v="CUST-0201"/>
    <s v="Citra Pratama"/>
    <d v="2026-06-18T00:00:00"/>
    <x v="0"/>
    <s v="Medan"/>
    <x v="1"/>
    <s v="Corporate"/>
    <x v="1"/>
    <x v="0"/>
    <n v="1"/>
    <x v="417"/>
    <n v="35000"/>
    <s v="Cancelled"/>
    <s v="Satisfied"/>
    <s v="No"/>
    <x v="4"/>
  </r>
  <r>
    <x v="423"/>
    <s v="CUST-0034"/>
    <s v="Bima Dewi"/>
    <d v="2026-06-28T00:00:00"/>
    <x v="0"/>
    <s v="Medan"/>
    <x v="1"/>
    <s v="New Customer"/>
    <x v="4"/>
    <x v="2"/>
    <n v="5"/>
    <x v="418"/>
    <n v="50000"/>
    <s v="Delivered"/>
    <s v="Satisfied"/>
    <s v="Yes"/>
    <x v="0"/>
  </r>
  <r>
    <x v="424"/>
    <s v="CUST-0060"/>
    <s v="Alya Santoso"/>
    <d v="2026-01-25T00:00:00"/>
    <x v="1"/>
    <s v="Bandung"/>
    <x v="0"/>
    <s v="New Customer"/>
    <x v="5"/>
    <x v="1"/>
    <n v="6"/>
    <x v="419"/>
    <n v="35000"/>
    <s v="Delivered"/>
    <s v="Satisfied"/>
    <s v="No"/>
    <x v="0"/>
  </r>
  <r>
    <x v="425"/>
    <s v="CUST-0237"/>
    <s v="Dimas Santoso"/>
    <d v="2026-01-17T00:00:00"/>
    <x v="1"/>
    <s v="Jakarta"/>
    <x v="3"/>
    <s v="Corporate"/>
    <x v="0"/>
    <x v="4"/>
    <n v="3"/>
    <x v="420"/>
    <n v="50000"/>
    <s v="Delivered"/>
    <s v="Neutral"/>
    <s v="Yes"/>
    <x v="0"/>
  </r>
  <r>
    <x v="426"/>
    <s v="CUST-0237"/>
    <s v="Dimas Santoso"/>
    <d v="2026-02-14T00:00:00"/>
    <x v="2"/>
    <s v="Makassar"/>
    <x v="2"/>
    <s v="Returning Customer"/>
    <x v="5"/>
    <x v="3"/>
    <n v="6"/>
    <x v="421"/>
    <n v="0"/>
    <s v="Delivered"/>
    <s v="Very Satisfied"/>
    <s v="No"/>
    <x v="1"/>
  </r>
  <r>
    <x v="427"/>
    <s v="CUST-0113"/>
    <s v="Raka Dewi"/>
    <d v="2026-06-23T00:00:00"/>
    <x v="0"/>
    <s v="Makassar"/>
    <x v="2"/>
    <s v="Returning Customer"/>
    <x v="4"/>
    <x v="4"/>
    <n v="2"/>
    <x v="422"/>
    <n v="15000"/>
    <s v="Delivered"/>
    <s v="Satisfied"/>
    <s v="Yes"/>
    <x v="0"/>
  </r>
  <r>
    <x v="428"/>
    <s v="CUST-0162"/>
    <s v="Sari Putri"/>
    <d v="2026-06-21T00:00:00"/>
    <x v="0"/>
    <s v="Medan"/>
    <x v="1"/>
    <s v="New Customer"/>
    <x v="0"/>
    <x v="0"/>
    <n v="1"/>
    <x v="423"/>
    <n v="15000"/>
    <s v="Delayed"/>
    <s v="Neutral"/>
    <s v="No"/>
    <x v="0"/>
  </r>
  <r>
    <x v="429"/>
    <s v="CUST-0049"/>
    <s v="Rizky Wijaya"/>
    <d v="2026-02-23T00:00:00"/>
    <x v="2"/>
    <s v="Bandung"/>
    <x v="0"/>
    <s v="New Customer"/>
    <x v="2"/>
    <x v="1"/>
    <n v="3"/>
    <x v="424"/>
    <n v="50000"/>
    <s v="Delivered"/>
    <s v="Neutral"/>
    <s v="No"/>
    <x v="0"/>
  </r>
  <r>
    <x v="430"/>
    <s v="CUST-0224"/>
    <s v="Sari Permata"/>
    <d v="2026-01-19T00:00:00"/>
    <x v="1"/>
    <s v="Medan"/>
    <x v="1"/>
    <s v="Returning Customer"/>
    <x v="4"/>
    <x v="4"/>
    <n v="7"/>
    <x v="425"/>
    <n v="15000"/>
    <s v="Delivered"/>
    <s v="Very Satisfied"/>
    <s v="No"/>
    <x v="0"/>
  </r>
  <r>
    <x v="431"/>
    <s v="CUST-0006"/>
    <s v="Sari Saputra"/>
    <d v="2026-02-27T00:00:00"/>
    <x v="2"/>
    <s v="Bandung"/>
    <x v="0"/>
    <s v="Vip"/>
    <x v="4"/>
    <x v="4"/>
    <n v="4"/>
    <x v="426"/>
    <n v="25000"/>
    <s v="Delivered"/>
    <s v="Very Satisfied"/>
    <s v="Yes"/>
    <x v="0"/>
  </r>
  <r>
    <x v="432"/>
    <s v="CUST-0219"/>
    <s v="Fajar Dewi"/>
    <d v="2026-05-13T00:00:00"/>
    <x v="5"/>
    <s v="Jakarta"/>
    <x v="3"/>
    <s v="Corporate"/>
    <x v="0"/>
    <x v="2"/>
    <n v="4"/>
    <x v="427"/>
    <n v="25000"/>
    <s v="Delivered"/>
    <s v="Satisfied"/>
    <s v="Yes"/>
    <x v="0"/>
  </r>
  <r>
    <x v="433"/>
    <s v="CUST-0087"/>
    <s v="Sari Wijaya"/>
    <d v="2026-04-18T00:00:00"/>
    <x v="3"/>
    <s v="Surabaya"/>
    <x v="4"/>
    <s v="New Customer"/>
    <x v="5"/>
    <x v="1"/>
    <n v="3"/>
    <x v="428"/>
    <n v="15000"/>
    <s v="Delayed"/>
    <s v="Satisfied"/>
    <s v="Yes"/>
    <x v="0"/>
  </r>
  <r>
    <x v="434"/>
    <s v="CUST-0207"/>
    <s v="Fajar Santoso"/>
    <d v="2026-05-25T00:00:00"/>
    <x v="5"/>
    <s v="Makassar"/>
    <x v="2"/>
    <s v="New Customer"/>
    <x v="1"/>
    <x v="1"/>
    <n v="1"/>
    <x v="429"/>
    <n v="25000"/>
    <s v="Cancelled"/>
    <s v="Satisfied"/>
    <s v="Yes"/>
    <x v="4"/>
  </r>
  <r>
    <x v="435"/>
    <s v="CUST-0070"/>
    <s v="Nadia Pratama"/>
    <d v="2026-01-11T00:00:00"/>
    <x v="1"/>
    <s v="Medan"/>
    <x v="1"/>
    <s v="Corporate"/>
    <x v="0"/>
    <x v="0"/>
    <n v="4"/>
    <x v="430"/>
    <n v="0"/>
    <s v="Delivered"/>
    <s v="Satisfied"/>
    <s v="Yes"/>
    <x v="1"/>
  </r>
  <r>
    <x v="436"/>
    <s v="CUST-0239"/>
    <s v="Alya Saputra"/>
    <d v="2026-01-15T00:00:00"/>
    <x v="1"/>
    <s v="Jakarta"/>
    <x v="3"/>
    <s v="Corporate"/>
    <x v="4"/>
    <x v="1"/>
    <n v="5"/>
    <x v="431"/>
    <n v="15000"/>
    <s v="Delivered"/>
    <s v="Satisfied"/>
    <s v="No"/>
    <x v="0"/>
  </r>
  <r>
    <x v="437"/>
    <s v="cust-0179"/>
    <s v="Fajar Pratama"/>
    <d v="2026-02-02T00:00:00"/>
    <x v="2"/>
    <s v="Makassar"/>
    <x v="2"/>
    <s v="Vip"/>
    <x v="0"/>
    <x v="0"/>
    <n v="5"/>
    <x v="432"/>
    <n v="35000"/>
    <s v="Delivered"/>
    <s v="Satisfied"/>
    <s v="No"/>
    <x v="0"/>
  </r>
  <r>
    <x v="438"/>
    <s v="CUST-0112"/>
    <s v="Nadia Lestari"/>
    <d v="2026-01-15T00:00:00"/>
    <x v="1"/>
    <s v="Makassar"/>
    <x v="2"/>
    <s v="New Customer"/>
    <x v="4"/>
    <x v="0"/>
    <n v="1"/>
    <x v="433"/>
    <n v="15000"/>
    <s v="Delivered"/>
    <s v="Very Satisfied"/>
    <s v="Yes"/>
    <x v="0"/>
  </r>
  <r>
    <x v="439"/>
    <s v="CUST-0020"/>
    <s v="Fajar Saputra"/>
    <d v="2026-01-15T00:00:00"/>
    <x v="1"/>
    <s v="Makassar"/>
    <x v="2"/>
    <s v="Returning Customer"/>
    <x v="0"/>
    <x v="0"/>
    <n v="2"/>
    <x v="434"/>
    <n v="35000"/>
    <s v="Delivered"/>
    <m/>
    <s v="No"/>
    <x v="6"/>
  </r>
  <r>
    <x v="440"/>
    <s v="CUST-0123"/>
    <s v="Bima Dewi"/>
    <d v="2026-06-18T00:00:00"/>
    <x v="0"/>
    <s v="Medan"/>
    <x v="1"/>
    <s v="Vip"/>
    <x v="5"/>
    <x v="1"/>
    <n v="1"/>
    <x v="435"/>
    <n v="0"/>
    <s v="Delivered"/>
    <s v="Satisfied"/>
    <s v="No"/>
    <x v="1"/>
  </r>
  <r>
    <x v="441"/>
    <s v="CUST-0094"/>
    <s v="Maya Putri"/>
    <d v="2026-05-22T00:00:00"/>
    <x v="5"/>
    <s v="Jkt"/>
    <x v="3"/>
    <s v="New Customer"/>
    <x v="0"/>
    <x v="1"/>
    <n v="5"/>
    <x v="436"/>
    <n v="15000"/>
    <s v="Delayed"/>
    <s v="Neutral"/>
    <s v="No"/>
    <x v="0"/>
  </r>
  <r>
    <x v="442"/>
    <s v="CUST-0072"/>
    <s v="Dimas Lestari"/>
    <d v="2026-01-21T00:00:00"/>
    <x v="1"/>
    <s v="Bandung"/>
    <x v="0"/>
    <s v="New Customer"/>
    <x v="0"/>
    <x v="0"/>
    <n v="7"/>
    <x v="437"/>
    <n v="15000"/>
    <s v="Returned"/>
    <s v="Dissatisfied"/>
    <s v="Yes"/>
    <x v="0"/>
  </r>
  <r>
    <x v="443"/>
    <s v="CUST-0061"/>
    <s v="Rizky Dewi"/>
    <d v="2026-06-28T00:00:00"/>
    <x v="0"/>
    <s v="Surabaya"/>
    <x v="4"/>
    <s v="Vip"/>
    <x v="1"/>
    <x v="1"/>
    <n v="1"/>
    <x v="438"/>
    <n v="35000"/>
    <s v="Delivered"/>
    <s v="Neutral"/>
    <s v="No"/>
    <x v="0"/>
  </r>
  <r>
    <x v="444"/>
    <s v="CUST-0212"/>
    <s v="Maya Santoso"/>
    <d v="2026-01-22T00:00:00"/>
    <x v="1"/>
    <s v="Medan"/>
    <x v="1"/>
    <s v="Corporate"/>
    <x v="2"/>
    <x v="2"/>
    <n v="7"/>
    <x v="439"/>
    <n v="25000"/>
    <s v="Delivered"/>
    <s v="Satisfied"/>
    <s v="Yes"/>
    <x v="0"/>
  </r>
  <r>
    <x v="445"/>
    <s v="CUST-0053"/>
    <s v="Raka Putri"/>
    <d v="2026-04-08T00:00:00"/>
    <x v="3"/>
    <s v="Makassar"/>
    <x v="2"/>
    <s v="Vip"/>
    <x v="4"/>
    <x v="4"/>
    <n v="5"/>
    <x v="440"/>
    <n v="35000"/>
    <s v="Delivered"/>
    <s v="Very Satisfied"/>
    <s v="No"/>
    <x v="0"/>
  </r>
  <r>
    <x v="446"/>
    <s v="CUST-0237"/>
    <s v="Dimas Santoso"/>
    <d v="2026-03-09T00:00:00"/>
    <x v="4"/>
    <s v="Medan"/>
    <x v="1"/>
    <s v="New Customer"/>
    <x v="4"/>
    <x v="4"/>
    <n v="3"/>
    <x v="441"/>
    <n v="0"/>
    <s v="Delivered"/>
    <s v="Satisfied"/>
    <s v="No"/>
    <x v="1"/>
  </r>
  <r>
    <x v="447"/>
    <s v="CUST-0185"/>
    <s v="Alya Dewi"/>
    <d v="2026-06-23T00:00:00"/>
    <x v="0"/>
    <s v="Makassar"/>
    <x v="2"/>
    <s v="Vip"/>
    <x v="5"/>
    <x v="1"/>
    <n v="4"/>
    <x v="442"/>
    <n v="50000"/>
    <s v="Delivered"/>
    <s v=" satisfied "/>
    <s v="No"/>
    <x v="0"/>
  </r>
  <r>
    <x v="448"/>
    <s v="CUST-0191"/>
    <s v="Fajar Pratama"/>
    <d v="2026-03-02T00:00:00"/>
    <x v="4"/>
    <s v="Bandung"/>
    <x v="0"/>
    <s v="Vip"/>
    <x v="0"/>
    <x v="4"/>
    <n v="3"/>
    <x v="443"/>
    <n v="0"/>
    <s v="Delayed"/>
    <s v="Satisfied"/>
    <s v="No"/>
    <x v="1"/>
  </r>
  <r>
    <x v="449"/>
    <s v="CUST-0010"/>
    <s v="Citra Pratama"/>
    <d v="2026-06-07T00:00:00"/>
    <x v="0"/>
    <s v="Makassar"/>
    <x v="2"/>
    <s v="New Customer"/>
    <x v="4"/>
    <x v="3"/>
    <n v="3"/>
    <x v="444"/>
    <n v="25000"/>
    <s v="Delivered"/>
    <s v="Neutral"/>
    <s v="No"/>
    <x v="0"/>
  </r>
  <r>
    <x v="450"/>
    <s v="CUST-0215"/>
    <s v="Fajar Pratama"/>
    <d v="2026-03-09T00:00:00"/>
    <x v="4"/>
    <s v="Jakarta"/>
    <x v="3"/>
    <s v="Vip"/>
    <x v="2"/>
    <x v="4"/>
    <n v="4"/>
    <x v="445"/>
    <n v="35000"/>
    <s v="Delivered"/>
    <s v="Very Satisfied"/>
    <s v="Yes"/>
    <x v="0"/>
  </r>
  <r>
    <x v="451"/>
    <s v="CUST-0105"/>
    <s v="Bima Santoso"/>
    <d v="2026-01-15T00:00:00"/>
    <x v="1"/>
    <s v="Medan"/>
    <x v="1"/>
    <s v="Returning Customer"/>
    <x v="0"/>
    <x v="3"/>
    <n v="5"/>
    <x v="446"/>
    <n v="25000"/>
    <s v="Delivered"/>
    <s v="Dissatisfied"/>
    <s v="No"/>
    <x v="0"/>
  </r>
  <r>
    <x v="452"/>
    <s v="CUST-0223"/>
    <s v="Nadia Wijaya"/>
    <d v="2026-05-07T00:00:00"/>
    <x v="5"/>
    <s v="Jakarta"/>
    <x v="3"/>
    <s v="Returning Customer"/>
    <x v="4"/>
    <x v="2"/>
    <n v="6"/>
    <x v="447"/>
    <n v="15000"/>
    <s v=" delivered "/>
    <s v="Neutral"/>
    <s v="Yes"/>
    <x v="0"/>
  </r>
  <r>
    <x v="453"/>
    <s v="CUST-0176"/>
    <s v="Rizky Dewi"/>
    <d v="2026-05-10T00:00:00"/>
    <x v="5"/>
    <s v="Jakarta"/>
    <x v="3"/>
    <s v="Vip"/>
    <x v="0"/>
    <x v="2"/>
    <n v="3"/>
    <x v="448"/>
    <n v="50000"/>
    <s v="Delivered"/>
    <s v="Satisfied"/>
    <s v="No"/>
    <x v="0"/>
  </r>
  <r>
    <x v="454"/>
    <s v="CUST-0139"/>
    <s v="Maya Pratama"/>
    <d v="2026-01-12T00:00:00"/>
    <x v="1"/>
    <s v="Makassar"/>
    <x v="2"/>
    <s v="New Customer"/>
    <x v="5"/>
    <x v="0"/>
    <n v="1"/>
    <x v="449"/>
    <n v="25000"/>
    <s v="Delivered"/>
    <s v="Satisfied"/>
    <s v="No"/>
    <x v="0"/>
  </r>
  <r>
    <x v="455"/>
    <s v="CUST-0147"/>
    <s v="Bima Permata"/>
    <d v="2026-04-06T00:00:00"/>
    <x v="3"/>
    <s v="Jakarta"/>
    <x v="3"/>
    <s v="Vip"/>
    <x v="1"/>
    <x v="3"/>
    <n v="6"/>
    <x v="450"/>
    <n v="0"/>
    <s v="Delivered"/>
    <s v="Very Satisfied"/>
    <s v="No"/>
    <x v="1"/>
  </r>
  <r>
    <x v="456"/>
    <s v="CUST-0105"/>
    <s v="Bima Santoso"/>
    <d v="2026-06-16T00:00:00"/>
    <x v="0"/>
    <s v="Jakarta"/>
    <x v="3"/>
    <s v="Vip"/>
    <x v="5"/>
    <x v="4"/>
    <n v="3"/>
    <x v="451"/>
    <n v="35000"/>
    <s v="Delivered"/>
    <s v="Very Satisfied"/>
    <s v="Yes"/>
    <x v="0"/>
  </r>
  <r>
    <x v="457"/>
    <s v="CUST-0028"/>
    <s v="Dimas Wijaya"/>
    <d v="2026-06-05T00:00:00"/>
    <x v="0"/>
    <s v="Makassar"/>
    <x v="2"/>
    <s v="Vip"/>
    <x v="5"/>
    <x v="1"/>
    <n v="5"/>
    <x v="452"/>
    <n v="25000"/>
    <s v="Delivered"/>
    <s v="Satisfied"/>
    <s v="Yes"/>
    <x v="0"/>
  </r>
  <r>
    <x v="458"/>
    <s v="CUST-0169"/>
    <s v="Citra Permata"/>
    <d v="2026-02-08T00:00:00"/>
    <x v="2"/>
    <s v="Makassar"/>
    <x v="2"/>
    <s v="Corporate"/>
    <x v="1"/>
    <x v="2"/>
    <n v="1"/>
    <x v="453"/>
    <n v="0"/>
    <s v="Returned"/>
    <s v="Neutral"/>
    <s v="Yes"/>
    <x v="1"/>
  </r>
  <r>
    <x v="459"/>
    <s v="CUST-0156"/>
    <s v="Dimas Putri"/>
    <d v="2026-05-01T00:00:00"/>
    <x v="5"/>
    <s v="Makassar"/>
    <x v="2"/>
    <s v="Vip"/>
    <x v="5"/>
    <x v="3"/>
    <n v="4"/>
    <x v="454"/>
    <n v="50000"/>
    <s v="Delivered"/>
    <s v="Very Satisfied"/>
    <s v="Yes"/>
    <x v="0"/>
  </r>
  <r>
    <x v="460"/>
    <s v="CUST-0205"/>
    <s v="Citra Putri"/>
    <d v="2026-04-03T00:00:00"/>
    <x v="3"/>
    <s v="Bandung"/>
    <x v="0"/>
    <s v="Corporate"/>
    <x v="3"/>
    <x v="1"/>
    <n v="3"/>
    <x v="455"/>
    <n v="35000"/>
    <s v="Delivered"/>
    <s v="Very Satisfied"/>
    <s v="No"/>
    <x v="0"/>
  </r>
  <r>
    <x v="461"/>
    <s v="CUST-0021"/>
    <s v="Rizky Dewi"/>
    <d v="2026-04-01T00:00:00"/>
    <x v="3"/>
    <s v="Makassar"/>
    <x v="2"/>
    <s v="Returning Customer"/>
    <x v="2"/>
    <x v="1"/>
    <n v="1"/>
    <x v="59"/>
    <n v="50000"/>
    <s v="Cancelled"/>
    <s v="Satisfied"/>
    <s v="Yes"/>
    <x v="3"/>
  </r>
  <r>
    <x v="462"/>
    <s v="CUST-0146"/>
    <s v="Maya Lestari"/>
    <d v="2026-02-02T00:00:00"/>
    <x v="2"/>
    <s v="Bandung"/>
    <x v="0"/>
    <s v="Vip"/>
    <x v="0"/>
    <x v="3"/>
    <n v="7"/>
    <x v="456"/>
    <n v="15000"/>
    <s v="Cancelled"/>
    <s v="Satisfied"/>
    <s v="No"/>
    <x v="4"/>
  </r>
  <r>
    <x v="463"/>
    <s v="CUST-0031"/>
    <s v="Rizky Permata"/>
    <d v="2026-01-21T00:00:00"/>
    <x v="1"/>
    <s v="Bandung"/>
    <x v="0"/>
    <s v="Returning Customer"/>
    <x v="2"/>
    <x v="2"/>
    <n v="5"/>
    <x v="457"/>
    <n v="35000"/>
    <s v="Returned"/>
    <s v="Neutral"/>
    <s v="Yes"/>
    <x v="0"/>
  </r>
  <r>
    <x v="464"/>
    <s v="CUST-0031"/>
    <s v="Rizky Permata"/>
    <d v="2026-04-18T00:00:00"/>
    <x v="3"/>
    <s v="Bandung"/>
    <x v="0"/>
    <s v="New Customer"/>
    <x v="2"/>
    <x v="2"/>
    <n v="6"/>
    <x v="458"/>
    <n v="50000"/>
    <s v="Cancelled"/>
    <s v="Satisfied"/>
    <s v="Yes"/>
    <x v="4"/>
  </r>
  <r>
    <x v="465"/>
    <s v="CUST-0019"/>
    <s v="Citra Saputra"/>
    <d v="2026-02-03T00:00:00"/>
    <x v="2"/>
    <s v="Medan"/>
    <x v="1"/>
    <s v="Returning Customer"/>
    <x v="3"/>
    <x v="3"/>
    <n v="4"/>
    <x v="459"/>
    <n v="50000"/>
    <s v="Cancelled"/>
    <s v="Satisfied"/>
    <s v="Yes"/>
    <x v="4"/>
  </r>
  <r>
    <x v="466"/>
    <s v="CUST-0087"/>
    <s v="Sari Wijaya"/>
    <d v="2026-03-28T00:00:00"/>
    <x v="4"/>
    <s v="Medan"/>
    <x v="1"/>
    <s v="Corporate"/>
    <x v="3"/>
    <x v="1"/>
    <n v="1"/>
    <x v="460"/>
    <n v="0"/>
    <s v="Delivered"/>
    <s v="Satisfied"/>
    <s v="No"/>
    <x v="1"/>
  </r>
  <r>
    <x v="467"/>
    <s v="CUST-0075"/>
    <s v="Citra Permata"/>
    <d v="2026-03-05T00:00:00"/>
    <x v="4"/>
    <s v="Makassar"/>
    <x v="2"/>
    <s v="New Customer"/>
    <x v="5"/>
    <x v="2"/>
    <n v="6"/>
    <x v="461"/>
    <n v="15000"/>
    <s v="Delivered"/>
    <s v="Neutral"/>
    <s v="No"/>
    <x v="0"/>
  </r>
  <r>
    <x v="468"/>
    <s v="CUST-0173"/>
    <s v="Alya Dewi"/>
    <d v="2026-06-16T00:00:00"/>
    <x v="0"/>
    <s v="Makassar"/>
    <x v="2"/>
    <s v="Vip"/>
    <x v="4"/>
    <x v="0"/>
    <n v="3"/>
    <x v="462"/>
    <n v="35000"/>
    <s v="Delivered"/>
    <s v="Satisfied"/>
    <s v="No"/>
    <x v="0"/>
  </r>
  <r>
    <x v="469"/>
    <s v="CUST-0127"/>
    <s v="Bima Putri"/>
    <d v="2026-03-29T00:00:00"/>
    <x v="4"/>
    <s v="Medan"/>
    <x v="1"/>
    <s v="Vip"/>
    <x v="0"/>
    <x v="1"/>
    <n v="5"/>
    <x v="463"/>
    <n v="50000"/>
    <s v="Delayed"/>
    <s v="Dissatisfied"/>
    <s v="No"/>
    <x v="0"/>
  </r>
  <r>
    <x v="470"/>
    <s v="CUST-0194"/>
    <s v="Rizky Saputra"/>
    <d v="2026-02-15T00:00:00"/>
    <x v="2"/>
    <s v="Bandung"/>
    <x v="0"/>
    <s v="Corporate"/>
    <x v="1"/>
    <x v="3"/>
    <n v="7"/>
    <x v="464"/>
    <n v="0"/>
    <s v="Cancelled"/>
    <s v="Neutral"/>
    <s v="No"/>
    <x v="6"/>
  </r>
  <r>
    <x v="471"/>
    <s v="CUST-0026"/>
    <s v="Nadia Putri"/>
    <d v="2026-03-30T00:00:00"/>
    <x v="4"/>
    <s v="Bandung"/>
    <x v="0"/>
    <s v="Returning Customer"/>
    <x v="0"/>
    <x v="3"/>
    <n v="1"/>
    <x v="465"/>
    <n v="15000"/>
    <s v="Delivered"/>
    <s v="Satisfied"/>
    <s v="Yes"/>
    <x v="0"/>
  </r>
  <r>
    <x v="472"/>
    <s v="CUST-0237"/>
    <s v="Dimas Santoso"/>
    <d v="2026-03-01T00:00:00"/>
    <x v="4"/>
    <s v="Bandung"/>
    <x v="0"/>
    <s v="New Customer"/>
    <x v="1"/>
    <x v="2"/>
    <n v="1"/>
    <x v="466"/>
    <n v="15000"/>
    <s v="Delivered"/>
    <s v="Neutral"/>
    <s v="Yes"/>
    <x v="0"/>
  </r>
  <r>
    <x v="473"/>
    <s v="CUST-0002"/>
    <s v="Alya Lestari"/>
    <d v="2026-05-06T00:00:00"/>
    <x v="5"/>
    <s v="Medan"/>
    <x v="1"/>
    <s v="Corporate"/>
    <x v="1"/>
    <x v="0"/>
    <n v="2"/>
    <x v="467"/>
    <n v="25000"/>
    <s v="Delivered"/>
    <s v="Dissatisfied"/>
    <s v="No"/>
    <x v="0"/>
  </r>
  <r>
    <x v="474"/>
    <s v="CUST-0076"/>
    <s v="Nadia Permata"/>
    <d v="2026-01-29T00:00:00"/>
    <x v="1"/>
    <s v="Bandung"/>
    <x v="0"/>
    <s v="Vip"/>
    <x v="3"/>
    <x v="2"/>
    <n v="4"/>
    <x v="468"/>
    <n v="35000"/>
    <s v="Delivered"/>
    <s v="Very Satisfied"/>
    <s v="No"/>
    <x v="0"/>
  </r>
  <r>
    <x v="475"/>
    <s v="CUST-0206"/>
    <s v="Rizky Dewi"/>
    <d v="2026-01-21T00:00:00"/>
    <x v="1"/>
    <s v="Medan"/>
    <x v="1"/>
    <s v="New Customer"/>
    <x v="3"/>
    <x v="3"/>
    <n v="3"/>
    <x v="469"/>
    <n v="0"/>
    <s v="Delivered"/>
    <s v="Very Satisfied"/>
    <s v="Yes"/>
    <x v="1"/>
  </r>
  <r>
    <x v="476"/>
    <s v="CUST-0111"/>
    <s v="Fajar Wijaya"/>
    <d v="2026-01-26T00:00:00"/>
    <x v="1"/>
    <s v="Jakarta"/>
    <x v="3"/>
    <s v="New Customer"/>
    <x v="5"/>
    <x v="0"/>
    <n v="2"/>
    <x v="470"/>
    <n v="25000"/>
    <s v="Delayed"/>
    <s v="Dissatisfied"/>
    <s v="No"/>
    <x v="0"/>
  </r>
  <r>
    <x v="477"/>
    <s v="CUST-0224"/>
    <s v="Sari Permata"/>
    <d v="2026-02-26T00:00:00"/>
    <x v="2"/>
    <s v="Medan"/>
    <x v="1"/>
    <s v="Vip"/>
    <x v="5"/>
    <x v="0"/>
    <n v="4"/>
    <x v="471"/>
    <n v="25000"/>
    <s v="Delivered"/>
    <s v="Neutral"/>
    <s v="Yes"/>
    <x v="0"/>
  </r>
  <r>
    <x v="478"/>
    <s v="CUST-0133"/>
    <s v="Nadia Wijaya"/>
    <d v="2026-02-24T00:00:00"/>
    <x v="2"/>
    <s v="Bdg"/>
    <x v="0"/>
    <s v="New Customer"/>
    <x v="2"/>
    <x v="3"/>
    <n v="1"/>
    <x v="472"/>
    <n v="35000"/>
    <s v="Delivered"/>
    <s v="Satisfied"/>
    <s v="No"/>
    <x v="0"/>
  </r>
  <r>
    <x v="479"/>
    <s v="CUST-0162"/>
    <s v="Sari Putri"/>
    <d v="2026-05-30T00:00:00"/>
    <x v="5"/>
    <s v="Surabaya"/>
    <x v="4"/>
    <s v="Returning Customer"/>
    <x v="0"/>
    <x v="1"/>
    <n v="4"/>
    <x v="473"/>
    <n v="25000"/>
    <s v="Delivered"/>
    <s v="Dissatisfied"/>
    <s v="No"/>
    <x v="0"/>
  </r>
  <r>
    <x v="480"/>
    <s v="CUST-0204"/>
    <s v="Nadia Pratama"/>
    <d v="2026-06-11T00:00:00"/>
    <x v="0"/>
    <s v="Bandung"/>
    <x v="0"/>
    <s v="New Customer"/>
    <x v="0"/>
    <x v="1"/>
    <n v="3"/>
    <x v="474"/>
    <n v="50000"/>
    <s v="Delivered"/>
    <s v="Very Satisfied"/>
    <s v="No"/>
    <x v="0"/>
  </r>
  <r>
    <x v="481"/>
    <s v="CUST-0084"/>
    <s v="Sari Putri"/>
    <d v="2026-03-05T00:00:00"/>
    <x v="4"/>
    <s v="Jakarta"/>
    <x v="3"/>
    <s v="Vip"/>
    <x v="3"/>
    <x v="1"/>
    <n v="2"/>
    <x v="475"/>
    <n v="0"/>
    <s v="Delivered"/>
    <s v="Very Satisfied"/>
    <s v="Yes"/>
    <x v="1"/>
  </r>
  <r>
    <x v="482"/>
    <s v="CUST-0199"/>
    <s v="Rizky Wijaya"/>
    <d v="2026-05-04T00:00:00"/>
    <x v="5"/>
    <s v="Surabaya"/>
    <x v="4"/>
    <s v="Returning Customer"/>
    <x v="2"/>
    <x v="2"/>
    <n v="4"/>
    <x v="476"/>
    <n v="50000"/>
    <s v="Delivered"/>
    <s v="Very Satisfied"/>
    <s v="No"/>
    <x v="0"/>
  </r>
  <r>
    <x v="483"/>
    <s v="CUST-0067"/>
    <s v="Sari Santoso"/>
    <d v="2026-06-22T00:00:00"/>
    <x v="0"/>
    <s v="Jakarta"/>
    <x v="3"/>
    <s v="Vip"/>
    <x v="2"/>
    <x v="0"/>
    <n v="4"/>
    <x v="477"/>
    <n v="35000"/>
    <s v="Delayed"/>
    <s v="Satisfied"/>
    <s v="No"/>
    <x v="0"/>
  </r>
  <r>
    <x v="484"/>
    <s v="CUST-0163"/>
    <s v="Sari Putri"/>
    <d v="2026-01-12T00:00:00"/>
    <x v="1"/>
    <s v="Makassar"/>
    <x v="2"/>
    <s v="Returning Customer"/>
    <x v="3"/>
    <x v="2"/>
    <m/>
    <x v="478"/>
    <n v="35000"/>
    <s v="Delivered"/>
    <s v="Neutral"/>
    <s v="No"/>
    <x v="7"/>
  </r>
  <r>
    <x v="485"/>
    <s v="CUST-0034"/>
    <s v="Bima Dewi"/>
    <d v="2026-06-04T00:00:00"/>
    <x v="0"/>
    <s v="Surabaya"/>
    <x v="4"/>
    <s v="Vip"/>
    <x v="1"/>
    <x v="2"/>
    <n v="6"/>
    <x v="479"/>
    <n v="0"/>
    <s v="Delivered"/>
    <s v="Satisfied"/>
    <s v="Yes"/>
    <x v="1"/>
  </r>
  <r>
    <x v="486"/>
    <s v="CUST-0133"/>
    <s v="Nadia Wijaya"/>
    <d v="2026-02-23T00:00:00"/>
    <x v="2"/>
    <s v="Bandung"/>
    <x v="0"/>
    <s v="Vip"/>
    <x v="5"/>
    <x v="3"/>
    <n v="2"/>
    <x v="480"/>
    <n v="50000"/>
    <s v="Returned"/>
    <s v="Neutral"/>
    <s v="No"/>
    <x v="0"/>
  </r>
  <r>
    <x v="487"/>
    <s v="CUST-0106"/>
    <s v="Rizky Dewi"/>
    <d v="2026-02-25T00:00:00"/>
    <x v="2"/>
    <s v="Makassar"/>
    <x v="2"/>
    <s v="New Customer"/>
    <x v="1"/>
    <x v="1"/>
    <n v="1"/>
    <x v="481"/>
    <n v="15000"/>
    <s v="Delivered"/>
    <s v="Very Satisfied"/>
    <s v="No"/>
    <x v="0"/>
  </r>
  <r>
    <x v="488"/>
    <s v="CUST-0011"/>
    <s v="Maya Saputra"/>
    <d v="2026-02-10T00:00:00"/>
    <x v="2"/>
    <s v="Bandung"/>
    <x v="0"/>
    <s v="New Customer"/>
    <x v="0"/>
    <x v="2"/>
    <n v="1"/>
    <x v="482"/>
    <n v="25000"/>
    <s v="Delivered"/>
    <s v="Neutral"/>
    <s v="No"/>
    <x v="0"/>
  </r>
  <r>
    <x v="489"/>
    <s v="CUST-0168"/>
    <s v="Bima Putri"/>
    <d v="2026-04-13T00:00:00"/>
    <x v="3"/>
    <s v="Medan"/>
    <x v="1"/>
    <s v="New Customer"/>
    <x v="4"/>
    <x v="4"/>
    <n v="7"/>
    <x v="483"/>
    <n v="25000"/>
    <s v="Delivered"/>
    <s v="Very Satisfied"/>
    <s v="Yes"/>
    <x v="0"/>
  </r>
  <r>
    <x v="490"/>
    <s v="CUST-0025"/>
    <s v="Dimas Dewi"/>
    <d v="2026-05-31T00:00:00"/>
    <x v="5"/>
    <s v="Surabaya"/>
    <x v="4"/>
    <s v="Corporate"/>
    <x v="1"/>
    <x v="2"/>
    <n v="7"/>
    <x v="484"/>
    <n v="15000"/>
    <s v="Delivered"/>
    <s v=" very satisfied "/>
    <s v="No"/>
    <x v="0"/>
  </r>
  <r>
    <x v="491"/>
    <s v="CUST-0071"/>
    <s v="Fajar Dewi"/>
    <d v="2026-04-28T00:00:00"/>
    <x v="3"/>
    <s v="Medan"/>
    <x v="1"/>
    <s v="New Customer"/>
    <x v="5"/>
    <x v="1"/>
    <n v="3"/>
    <x v="485"/>
    <n v="0"/>
    <s v="Returned"/>
    <s v="Neutral"/>
    <s v="No"/>
    <x v="1"/>
  </r>
  <r>
    <x v="492"/>
    <s v="CUST-0124"/>
    <s v="Maya Saputra"/>
    <d v="2026-03-14T00:00:00"/>
    <x v="4"/>
    <s v="Medan"/>
    <x v="1"/>
    <s v="Vip"/>
    <x v="1"/>
    <x v="2"/>
    <n v="2"/>
    <x v="486"/>
    <n v="50000"/>
    <s v="Delivered"/>
    <s v="Dissatisfied"/>
    <s v="No"/>
    <x v="0"/>
  </r>
  <r>
    <x v="493"/>
    <s v="CUST-0058"/>
    <s v="Citra Wijaya"/>
    <d v="1970-01-01T00:00:00"/>
    <x v="1"/>
    <s v="Makassar"/>
    <x v="2"/>
    <s v="New Customer"/>
    <x v="3"/>
    <x v="3"/>
    <n v="7"/>
    <x v="487"/>
    <n v="35000"/>
    <s v="Delivered"/>
    <s v="Satisfied"/>
    <s v="No"/>
    <x v="9"/>
  </r>
  <r>
    <x v="494"/>
    <s v="CUST-0037"/>
    <s v="Maya Santoso"/>
    <d v="2026-06-11T00:00:00"/>
    <x v="0"/>
    <s v="Medan"/>
    <x v="1"/>
    <s v="Returning Customer"/>
    <x v="4"/>
    <x v="0"/>
    <n v="5"/>
    <x v="488"/>
    <n v="0"/>
    <s v="Delivered"/>
    <s v="Neutral"/>
    <s v="No"/>
    <x v="1"/>
  </r>
  <r>
    <x v="495"/>
    <s v="CUST-0158"/>
    <s v="Fajar Saputra"/>
    <d v="2026-05-02T00:00:00"/>
    <x v="5"/>
    <s v="Surabaya"/>
    <x v="4"/>
    <s v="Corporate"/>
    <x v="0"/>
    <x v="3"/>
    <n v="7"/>
    <x v="489"/>
    <n v="50000"/>
    <s v=" delivered "/>
    <s v="Satisfied"/>
    <s v="Yes"/>
    <x v="0"/>
  </r>
  <r>
    <x v="496"/>
    <s v="CUST-0010"/>
    <s v="Citra Pratama"/>
    <d v="2026-03-24T00:00:00"/>
    <x v="4"/>
    <s v="Makassar"/>
    <x v="2"/>
    <s v="Corporate"/>
    <x v="1"/>
    <x v="1"/>
    <n v="4"/>
    <x v="490"/>
    <n v="50000"/>
    <s v="Delayed"/>
    <s v="Satisfied"/>
    <s v="No"/>
    <x v="0"/>
  </r>
  <r>
    <x v="497"/>
    <s v="CUST-0167"/>
    <s v="Rizky Pratama"/>
    <d v="2026-03-02T00:00:00"/>
    <x v="4"/>
    <s v="Jakarta"/>
    <x v="3"/>
    <s v="New Customer"/>
    <x v="2"/>
    <x v="2"/>
    <n v="6"/>
    <x v="491"/>
    <n v="35000"/>
    <s v="Delivered"/>
    <s v="Satisfied"/>
    <s v="No"/>
    <x v="0"/>
  </r>
  <r>
    <x v="498"/>
    <s v="CUST-0033"/>
    <s v="Rizky Permata"/>
    <d v="2026-01-04T00:00:00"/>
    <x v="1"/>
    <s v="Jakarta"/>
    <x v="3"/>
    <s v="New Customer"/>
    <x v="2"/>
    <x v="1"/>
    <n v="6"/>
    <x v="492"/>
    <n v="50000"/>
    <s v="Delivered"/>
    <s v="Very Satisfied"/>
    <s v="Yes"/>
    <x v="0"/>
  </r>
  <r>
    <x v="499"/>
    <s v="CUST-0161"/>
    <s v="Alya Putri"/>
    <d v="2026-05-15T00:00:00"/>
    <x v="5"/>
    <s v="Jakarta"/>
    <x v="3"/>
    <s v="Corporate"/>
    <x v="0"/>
    <x v="3"/>
    <n v="6"/>
    <x v="493"/>
    <n v="15000"/>
    <s v="Delayed"/>
    <s v="Very Satisfied"/>
    <s v="No"/>
    <x v="0"/>
  </r>
  <r>
    <x v="500"/>
    <s v="CUST-0158"/>
    <s v="Fajar Saputra"/>
    <d v="2026-04-06T00:00:00"/>
    <x v="3"/>
    <s v="Makassar"/>
    <x v="2"/>
    <s v="Vip"/>
    <x v="1"/>
    <x v="4"/>
    <n v="2"/>
    <x v="494"/>
    <n v="15000"/>
    <s v="Delivered"/>
    <s v="Satisfied"/>
    <s v="No"/>
    <x v="0"/>
  </r>
  <r>
    <x v="501"/>
    <s v="CUST-0121"/>
    <s v="Rizky Saputra"/>
    <d v="2026-04-29T00:00:00"/>
    <x v="3"/>
    <s v="Bandung"/>
    <x v="0"/>
    <s v="Returning Customer"/>
    <x v="1"/>
    <x v="1"/>
    <n v="6"/>
    <x v="495"/>
    <n v="25000"/>
    <s v="Delivered"/>
    <s v="Neutral"/>
    <s v="Yes"/>
    <x v="0"/>
  </r>
  <r>
    <x v="502"/>
    <s v="CUST-0082"/>
    <s v="Alya Wijaya"/>
    <d v="2026-04-17T00:00:00"/>
    <x v="3"/>
    <s v="Surabaya"/>
    <x v="4"/>
    <s v="Returning Customer"/>
    <x v="5"/>
    <x v="2"/>
    <n v="4"/>
    <x v="496"/>
    <n v="15000"/>
    <s v="Delivered"/>
    <s v="Dissatisfied"/>
    <s v="No"/>
    <x v="0"/>
  </r>
  <r>
    <x v="503"/>
    <s v="CUST-0085"/>
    <s v="Bima Lestari"/>
    <d v="2026-01-25T00:00:00"/>
    <x v="1"/>
    <s v="Makassar"/>
    <x v="2"/>
    <s v="Returning Customer"/>
    <x v="0"/>
    <x v="2"/>
    <n v="4"/>
    <x v="497"/>
    <n v="50000"/>
    <s v="Delivered"/>
    <s v="Very Satisfied"/>
    <s v="Yes"/>
    <x v="0"/>
  </r>
  <r>
    <x v="504"/>
    <s v="CUST-0071"/>
    <s v="Fajar Dewi"/>
    <d v="2026-03-14T00:00:00"/>
    <x v="4"/>
    <s v="Medan"/>
    <x v="1"/>
    <s v="Vip"/>
    <x v="1"/>
    <x v="4"/>
    <n v="6"/>
    <x v="498"/>
    <n v="50000"/>
    <s v="Delivered"/>
    <s v="Satisfied"/>
    <s v="Yes"/>
    <x v="0"/>
  </r>
  <r>
    <x v="505"/>
    <s v="CUST-0020"/>
    <s v="Fajar Saputra"/>
    <d v="2026-06-01T00:00:00"/>
    <x v="0"/>
    <s v="Makassar"/>
    <x v="2"/>
    <s v="New Customer"/>
    <x v="5"/>
    <x v="4"/>
    <n v="6"/>
    <x v="499"/>
    <n v="0"/>
    <s v="Delivered"/>
    <s v="Very Satisfied"/>
    <s v="No"/>
    <x v="1"/>
  </r>
  <r>
    <x v="506"/>
    <s v="CUST-0085"/>
    <s v="Bima Lestari"/>
    <d v="2026-05-28T00:00:00"/>
    <x v="5"/>
    <s v="Jakarta"/>
    <x v="3"/>
    <s v="Returning Customer"/>
    <x v="5"/>
    <x v="2"/>
    <n v="6"/>
    <x v="500"/>
    <n v="50000"/>
    <s v="Cancelled"/>
    <s v="Very Satisfied"/>
    <s v="Yes"/>
    <x v="4"/>
  </r>
  <r>
    <x v="507"/>
    <s v="CUST-0037"/>
    <s v="Maya Santoso"/>
    <d v="2026-02-12T00:00:00"/>
    <x v="2"/>
    <s v="Bandung"/>
    <x v="0"/>
    <s v="Corporate"/>
    <x v="2"/>
    <x v="1"/>
    <n v="3"/>
    <x v="501"/>
    <n v="0"/>
    <s v="Delivered"/>
    <s v="Dissatisfied"/>
    <s v="No"/>
    <x v="1"/>
  </r>
  <r>
    <x v="508"/>
    <s v="CUST-0078"/>
    <s v="Maya Pratama"/>
    <d v="2026-05-09T00:00:00"/>
    <x v="5"/>
    <s v="Medan"/>
    <x v="1"/>
    <s v="Vip"/>
    <x v="0"/>
    <x v="4"/>
    <n v="5"/>
    <x v="502"/>
    <n v="15000"/>
    <s v="Delivered"/>
    <s v="Neutral"/>
    <s v="No"/>
    <x v="0"/>
  </r>
  <r>
    <x v="509"/>
    <s v="CUST-0136"/>
    <s v="Maya Permata"/>
    <d v="2026-01-21T00:00:00"/>
    <x v="1"/>
    <s v="Makassar"/>
    <x v="2"/>
    <s v="Corporate"/>
    <x v="2"/>
    <x v="3"/>
    <n v="6"/>
    <x v="503"/>
    <n v="15000"/>
    <s v="Delayed"/>
    <s v="Dissatisfied"/>
    <s v="Yes"/>
    <x v="0"/>
  </r>
  <r>
    <x v="510"/>
    <s v="cust-0143"/>
    <s v="Sari Wijaya"/>
    <d v="2026-04-22T00:00:00"/>
    <x v="3"/>
    <s v="Surabaya"/>
    <x v="4"/>
    <s v="Corporate"/>
    <x v="5"/>
    <x v="4"/>
    <n v="1"/>
    <x v="504"/>
    <n v="15000"/>
    <s v="Delayed"/>
    <s v="Dissatisfied"/>
    <s v="Yes"/>
    <x v="0"/>
  </r>
  <r>
    <x v="511"/>
    <s v="CUST-0098"/>
    <s v="Fajar Lestari"/>
    <d v="2026-04-06T00:00:00"/>
    <x v="3"/>
    <s v="Jakarta"/>
    <x v="3"/>
    <s v="Vip"/>
    <x v="0"/>
    <x v="2"/>
    <n v="2"/>
    <x v="505"/>
    <n v="0"/>
    <s v="Delivered"/>
    <s v="Satisfied"/>
    <s v="No"/>
    <x v="1"/>
  </r>
  <r>
    <x v="512"/>
    <s v="CUST-0235"/>
    <s v="Dimas Saputra"/>
    <d v="2026-03-06T00:00:00"/>
    <x v="4"/>
    <s v="Medan"/>
    <x v="1"/>
    <s v="Corporate"/>
    <x v="4"/>
    <x v="3"/>
    <n v="5"/>
    <x v="506"/>
    <n v="0"/>
    <s v="Delivered"/>
    <s v="Satisfied"/>
    <s v="No"/>
    <x v="1"/>
  </r>
  <r>
    <x v="513"/>
    <s v="CUST-0161"/>
    <s v="Alya Putri"/>
    <d v="2026-01-15T00:00:00"/>
    <x v="1"/>
    <s v="Medan"/>
    <x v="1"/>
    <s v="New Customer"/>
    <x v="4"/>
    <x v="3"/>
    <n v="5"/>
    <x v="507"/>
    <n v="35000"/>
    <s v="Delivered"/>
    <s v="Satisfied"/>
    <s v="Yes"/>
    <x v="0"/>
  </r>
  <r>
    <x v="514"/>
    <s v="CUST-0157"/>
    <s v="Rizky Pratama"/>
    <d v="2026-02-09T00:00:00"/>
    <x v="2"/>
    <s v="Jakarta"/>
    <x v="3"/>
    <s v="Corporate"/>
    <x v="3"/>
    <x v="2"/>
    <n v="1"/>
    <x v="508"/>
    <n v="15000"/>
    <s v="Delivered"/>
    <s v="Neutral"/>
    <s v="No"/>
    <x v="0"/>
  </r>
  <r>
    <x v="515"/>
    <s v="CUST-0025"/>
    <s v="Dimas Dewi"/>
    <d v="2026-05-20T00:00:00"/>
    <x v="5"/>
    <s v="Sby"/>
    <x v="4"/>
    <s v="Returning Customer"/>
    <x v="1"/>
    <x v="3"/>
    <n v="6"/>
    <x v="509"/>
    <n v="15000"/>
    <s v="Delivered"/>
    <s v="Very Satisfied"/>
    <s v="Yes"/>
    <x v="0"/>
  </r>
  <r>
    <x v="516"/>
    <s v="CUST-0171"/>
    <s v="Rizky Putri"/>
    <d v="2026-04-14T00:00:00"/>
    <x v="3"/>
    <s v="Bandung"/>
    <x v="0"/>
    <s v="Vip"/>
    <x v="4"/>
    <x v="0"/>
    <n v="1"/>
    <x v="510"/>
    <n v="0"/>
    <s v="Delivered"/>
    <s v="Satisfied"/>
    <s v="No"/>
    <x v="1"/>
  </r>
  <r>
    <x v="517"/>
    <s v="CUST-0012"/>
    <s v="Sari Saputra"/>
    <d v="2026-03-12T00:00:00"/>
    <x v="4"/>
    <s v="Jakarta"/>
    <x v="3"/>
    <s v="Vip"/>
    <x v="0"/>
    <x v="4"/>
    <n v="4"/>
    <x v="511"/>
    <n v="50000"/>
    <s v="Delivered"/>
    <s v="Satisfied"/>
    <s v="No"/>
    <x v="0"/>
  </r>
  <r>
    <x v="518"/>
    <s v="CUST-0031"/>
    <s v="Rizky Permata"/>
    <d v="2026-03-29T00:00:00"/>
    <x v="4"/>
    <s v="Medan"/>
    <x v="1"/>
    <s v="New Customer"/>
    <x v="4"/>
    <x v="2"/>
    <n v="7"/>
    <x v="512"/>
    <n v="50000"/>
    <s v="Delivered"/>
    <s v="Satisfied"/>
    <s v="Yes"/>
    <x v="0"/>
  </r>
  <r>
    <x v="519"/>
    <s v="CUST-0187"/>
    <s v="Bima Wijaya"/>
    <d v="2026-01-23T00:00:00"/>
    <x v="1"/>
    <s v="Bandung"/>
    <x v="0"/>
    <s v="New Customer"/>
    <x v="5"/>
    <x v="3"/>
    <n v="5"/>
    <x v="513"/>
    <n v="25000"/>
    <s v="Delivered"/>
    <s v="Very Satisfied"/>
    <s v="No"/>
    <x v="0"/>
  </r>
  <r>
    <x v="520"/>
    <s v="CUST-0021"/>
    <s v="Rizky Dewi"/>
    <d v="2026-03-05T00:00:00"/>
    <x v="4"/>
    <s v="Jakarta"/>
    <x v="3"/>
    <s v="Corporate"/>
    <x v="3"/>
    <x v="3"/>
    <n v="6"/>
    <x v="514"/>
    <n v="15000"/>
    <s v="Delivered"/>
    <s v="Very Satisfied"/>
    <s v="Yes"/>
    <x v="0"/>
  </r>
  <r>
    <x v="521"/>
    <s v="CUST-0072"/>
    <s v="Dimas Lestari"/>
    <d v="2026-02-05T00:00:00"/>
    <x v="2"/>
    <s v="Bandung"/>
    <x v="0"/>
    <s v="Returning Customer"/>
    <x v="0"/>
    <x v="3"/>
    <n v="4"/>
    <x v="515"/>
    <n v="25000"/>
    <s v="Delivered"/>
    <s v="Very Satisfied"/>
    <s v="No"/>
    <x v="0"/>
  </r>
  <r>
    <x v="522"/>
    <s v="CUST-0068"/>
    <s v="Citra Dewi"/>
    <d v="2026-01-24T00:00:00"/>
    <x v="1"/>
    <s v="Makassar"/>
    <x v="2"/>
    <s v="Corporate"/>
    <x v="3"/>
    <x v="0"/>
    <n v="5"/>
    <x v="516"/>
    <n v="25000"/>
    <s v="Delivered"/>
    <s v="Neutral"/>
    <s v="Yes"/>
    <x v="0"/>
  </r>
  <r>
    <x v="523"/>
    <s v="CUST-0214"/>
    <s v="Maya Pratama"/>
    <d v="2026-05-30T00:00:00"/>
    <x v="5"/>
    <s v="Medan"/>
    <x v="1"/>
    <s v="Vip"/>
    <x v="3"/>
    <x v="3"/>
    <n v="5"/>
    <x v="517"/>
    <n v="15000"/>
    <s v="Delivered"/>
    <s v="Dissatisfied"/>
    <s v="Yes"/>
    <x v="0"/>
  </r>
  <r>
    <x v="524"/>
    <s v="CUST-0088"/>
    <s v="Raka Santoso"/>
    <d v="2026-06-29T00:00:00"/>
    <x v="0"/>
    <s v="Makassar"/>
    <x v="2"/>
    <s v="Returning Customer"/>
    <x v="0"/>
    <x v="0"/>
    <n v="7"/>
    <x v="518"/>
    <n v="50000"/>
    <s v="Delivered"/>
    <s v="Very Satisfied"/>
    <s v="No"/>
    <x v="0"/>
  </r>
  <r>
    <x v="525"/>
    <s v="CUST-0067"/>
    <s v="Sari Santoso"/>
    <d v="2026-01-09T00:00:00"/>
    <x v="1"/>
    <s v="Medan"/>
    <x v="1"/>
    <s v="Vip"/>
    <x v="0"/>
    <x v="4"/>
    <n v="6"/>
    <x v="519"/>
    <n v="50000"/>
    <s v="Delivered"/>
    <s v="Satisfied"/>
    <s v="No"/>
    <x v="0"/>
  </r>
  <r>
    <x v="526"/>
    <s v="CUST-0169"/>
    <s v="Citra Permata"/>
    <d v="1970-01-01T00:00:00"/>
    <x v="1"/>
    <s v="Jakarta"/>
    <x v="3"/>
    <s v="Returning Customer"/>
    <x v="2"/>
    <x v="1"/>
    <n v="6"/>
    <x v="520"/>
    <n v="25000"/>
    <s v="Delivered"/>
    <s v="Satisfied"/>
    <s v="No"/>
    <x v="9"/>
  </r>
  <r>
    <x v="527"/>
    <s v="CUST-0087"/>
    <s v="Sari Wijaya"/>
    <d v="2026-06-15T00:00:00"/>
    <x v="0"/>
    <s v="Bandung"/>
    <x v="0"/>
    <s v="New Customer"/>
    <x v="2"/>
    <x v="4"/>
    <n v="3"/>
    <x v="521"/>
    <n v="15000"/>
    <s v="Delivered"/>
    <m/>
    <s v="No"/>
    <x v="6"/>
  </r>
  <r>
    <x v="528"/>
    <s v="CUST-0152"/>
    <s v="Bima Lestari"/>
    <d v="2026-05-28T00:00:00"/>
    <x v="5"/>
    <s v="Surabaya"/>
    <x v="4"/>
    <s v="Corporate"/>
    <x v="3"/>
    <x v="1"/>
    <n v="4"/>
    <x v="59"/>
    <n v="35000"/>
    <s v="Delayed"/>
    <s v="Neutral"/>
    <s v="No"/>
    <x v="3"/>
  </r>
  <r>
    <x v="529"/>
    <s v="CUST-0011"/>
    <s v="Maya Saputra"/>
    <d v="2026-03-01T00:00:00"/>
    <x v="4"/>
    <s v="Makassar"/>
    <x v="2"/>
    <s v="Corporate"/>
    <x v="1"/>
    <x v="2"/>
    <n v="4"/>
    <x v="522"/>
    <n v="0"/>
    <s v="Delivered"/>
    <s v="Very Satisfied"/>
    <s v="Yes"/>
    <x v="1"/>
  </r>
  <r>
    <x v="530"/>
    <s v="CUST-0132"/>
    <s v="Alya Putri"/>
    <d v="2026-02-12T00:00:00"/>
    <x v="2"/>
    <s v="Makassar"/>
    <x v="2"/>
    <s v="Returning Customer"/>
    <x v="5"/>
    <x v="3"/>
    <n v="6"/>
    <x v="523"/>
    <n v="50000"/>
    <s v="Cancelled"/>
    <s v="Very Satisfied"/>
    <s v="Yes"/>
    <x v="4"/>
  </r>
  <r>
    <x v="531"/>
    <s v="CUST-0024"/>
    <s v="Nadia Lestari"/>
    <d v="2026-03-21T00:00:00"/>
    <x v="4"/>
    <s v="Bandung"/>
    <x v="0"/>
    <s v="Returning Customer"/>
    <x v="5"/>
    <x v="3"/>
    <n v="4"/>
    <x v="524"/>
    <n v="25000"/>
    <s v="Delivered"/>
    <s v="Satisfied"/>
    <s v="No"/>
    <x v="0"/>
  </r>
  <r>
    <x v="532"/>
    <s v="CUST-0021"/>
    <s v="Rizky Dewi"/>
    <d v="2026-02-17T00:00:00"/>
    <x v="2"/>
    <s v="Makassar"/>
    <x v="2"/>
    <s v="Vip"/>
    <x v="4"/>
    <x v="1"/>
    <n v="4"/>
    <x v="525"/>
    <n v="15000"/>
    <s v="Delivered"/>
    <s v="Very Satisfied"/>
    <s v="Yes"/>
    <x v="0"/>
  </r>
  <r>
    <x v="533"/>
    <s v="CUST-0089"/>
    <s v="Raka Saputra"/>
    <d v="2026-01-26T00:00:00"/>
    <x v="1"/>
    <s v="Medan"/>
    <x v="1"/>
    <s v="Corporate"/>
    <x v="2"/>
    <x v="0"/>
    <n v="6"/>
    <x v="526"/>
    <n v="50000"/>
    <s v="Delivered"/>
    <s v=" very satisfied "/>
    <s v="Yes"/>
    <x v="0"/>
  </r>
  <r>
    <x v="534"/>
    <s v="CUST-0100"/>
    <s v="Raka Pratama"/>
    <d v="2026-02-02T00:00:00"/>
    <x v="2"/>
    <s v="Medan"/>
    <x v="1"/>
    <s v="Corporate"/>
    <x v="1"/>
    <x v="2"/>
    <n v="4"/>
    <x v="527"/>
    <n v="15000"/>
    <s v="Delivered"/>
    <s v="Neutral"/>
    <s v="No"/>
    <x v="0"/>
  </r>
  <r>
    <x v="535"/>
    <s v="CUST-0126"/>
    <s v="Fajar Wijaya"/>
    <d v="2026-06-21T00:00:00"/>
    <x v="0"/>
    <s v="Surabaya"/>
    <x v="4"/>
    <s v="Vip"/>
    <x v="1"/>
    <x v="2"/>
    <n v="5"/>
    <x v="528"/>
    <n v="15000"/>
    <s v="Delivered"/>
    <s v="Very Satisfied"/>
    <s v="No"/>
    <x v="0"/>
  </r>
  <r>
    <x v="536"/>
    <s v="CUST-0235"/>
    <s v="Dimas Saputra"/>
    <d v="2026-01-20T00:00:00"/>
    <x v="1"/>
    <s v="Medan"/>
    <x v="1"/>
    <s v="New Customer"/>
    <x v="0"/>
    <x v="1"/>
    <n v="4"/>
    <x v="529"/>
    <n v="15000"/>
    <s v="Delivered"/>
    <s v="Very Satisfied"/>
    <s v="Yes"/>
    <x v="0"/>
  </r>
  <r>
    <x v="537"/>
    <s v="CUST-0109"/>
    <s v="Raka Wijaya"/>
    <d v="2026-02-08T00:00:00"/>
    <x v="2"/>
    <s v="Surabaya"/>
    <x v="4"/>
    <s v="Corporate"/>
    <x v="5"/>
    <x v="0"/>
    <n v="4"/>
    <x v="530"/>
    <n v="25000"/>
    <s v="Delivered"/>
    <s v="Satisfied"/>
    <s v="No"/>
    <x v="0"/>
  </r>
  <r>
    <x v="538"/>
    <s v="CUST-0175"/>
    <s v="Bima Permata"/>
    <d v="2026-05-13T00:00:00"/>
    <x v="5"/>
    <s v="Jakarta"/>
    <x v="3"/>
    <s v="Corporate"/>
    <x v="4"/>
    <x v="0"/>
    <n v="7"/>
    <x v="531"/>
    <n v="35000"/>
    <s v=" delivered "/>
    <s v="Satisfied"/>
    <s v="No"/>
    <x v="0"/>
  </r>
  <r>
    <x v="539"/>
    <s v="CUST-0033"/>
    <s v="Rizky Permata"/>
    <d v="2026-05-28T00:00:00"/>
    <x v="5"/>
    <s v="Medan"/>
    <x v="1"/>
    <s v="Corporate"/>
    <x v="4"/>
    <x v="3"/>
    <n v="6"/>
    <x v="532"/>
    <n v="35000"/>
    <s v="Delivered"/>
    <s v="Satisfied"/>
    <s v="No"/>
    <x v="0"/>
  </r>
  <r>
    <x v="540"/>
    <s v="CUST-0067"/>
    <s v="Sari Santoso"/>
    <d v="2026-06-12T00:00:00"/>
    <x v="0"/>
    <s v="Medan"/>
    <x v="1"/>
    <s v="Vip"/>
    <x v="1"/>
    <x v="3"/>
    <n v="7"/>
    <x v="533"/>
    <n v="50000"/>
    <s v="Delayed"/>
    <s v="Neutral"/>
    <s v="Yes"/>
    <x v="0"/>
  </r>
  <r>
    <x v="541"/>
    <s v="CUST-0202"/>
    <s v="Citra Wijaya"/>
    <d v="2026-02-15T00:00:00"/>
    <x v="2"/>
    <s v="Bandung"/>
    <x v="0"/>
    <s v="New Customer"/>
    <x v="0"/>
    <x v="4"/>
    <n v="7"/>
    <x v="534"/>
    <n v="50000"/>
    <s v="Delivered"/>
    <s v="Satisfied"/>
    <s v="No"/>
    <x v="0"/>
  </r>
  <r>
    <x v="542"/>
    <s v="CUST-0051"/>
    <s v="Rizky Dewi"/>
    <d v="2026-05-12T00:00:00"/>
    <x v="5"/>
    <s v="Medan"/>
    <x v="1"/>
    <s v="Corporate"/>
    <x v="0"/>
    <x v="2"/>
    <n v="1"/>
    <x v="535"/>
    <n v="35000"/>
    <s v="Delivered"/>
    <s v="Very Satisfied"/>
    <s v="No"/>
    <x v="0"/>
  </r>
  <r>
    <x v="543"/>
    <s v="CUST-0065"/>
    <s v="Dimas Permata"/>
    <d v="2026-04-19T00:00:00"/>
    <x v="3"/>
    <s v="Surabaya"/>
    <x v="4"/>
    <s v="Corporate"/>
    <x v="4"/>
    <x v="1"/>
    <n v="7"/>
    <x v="536"/>
    <n v="25000"/>
    <s v="Delayed"/>
    <s v="Satisfied"/>
    <s v="No"/>
    <x v="0"/>
  </r>
  <r>
    <x v="544"/>
    <s v="CUST-0077"/>
    <s v="Raka Permata"/>
    <d v="2026-06-12T00:00:00"/>
    <x v="0"/>
    <s v="Medan"/>
    <x v="1"/>
    <s v="Returning Customer"/>
    <x v="5"/>
    <x v="2"/>
    <n v="1"/>
    <x v="537"/>
    <n v="50000"/>
    <s v="Delivered"/>
    <s v="Very Satisfied"/>
    <s v="Yes"/>
    <x v="0"/>
  </r>
  <r>
    <x v="545"/>
    <s v="CUST-0033"/>
    <s v="Rizky Permata"/>
    <d v="2026-02-07T00:00:00"/>
    <x v="2"/>
    <s v="Makassar"/>
    <x v="2"/>
    <s v="Returning Customer"/>
    <x v="3"/>
    <x v="4"/>
    <n v="3"/>
    <x v="538"/>
    <n v="35000"/>
    <s v="Delivered"/>
    <s v="Satisfied"/>
    <s v="No"/>
    <x v="0"/>
  </r>
  <r>
    <x v="546"/>
    <s v="CUST-0011"/>
    <s v="Maya Saputra"/>
    <d v="2026-01-20T00:00:00"/>
    <x v="1"/>
    <s v="Jakarta"/>
    <x v="3"/>
    <s v="Corporate"/>
    <x v="1"/>
    <x v="2"/>
    <n v="1"/>
    <x v="539"/>
    <n v="25000"/>
    <s v="Delivered"/>
    <s v="Dissatisfied"/>
    <s v="No"/>
    <x v="0"/>
  </r>
  <r>
    <x v="547"/>
    <s v="CUST-0238"/>
    <s v="Fajar Permata"/>
    <d v="2026-06-13T00:00:00"/>
    <x v="0"/>
    <s v="Surabaya"/>
    <x v="4"/>
    <s v="New Customer"/>
    <x v="2"/>
    <x v="2"/>
    <n v="4"/>
    <x v="540"/>
    <n v="35000"/>
    <s v="Delivered"/>
    <s v="Dissatisfied"/>
    <s v="Yes"/>
    <x v="0"/>
  </r>
  <r>
    <x v="548"/>
    <s v="CUST-0147"/>
    <s v="Bima Permata"/>
    <d v="2026-03-08T00:00:00"/>
    <x v="4"/>
    <s v="Jakarta"/>
    <x v="3"/>
    <s v="Vip"/>
    <x v="1"/>
    <x v="1"/>
    <n v="5"/>
    <x v="541"/>
    <n v="50000"/>
    <s v="Delivered"/>
    <s v="Neutral"/>
    <s v="Yes"/>
    <x v="0"/>
  </r>
  <r>
    <x v="549"/>
    <s v="CUST-0195"/>
    <s v="Citra Putri"/>
    <d v="2026-04-22T00:00:00"/>
    <x v="3"/>
    <s v="Medan"/>
    <x v="1"/>
    <s v="Returning Customer"/>
    <x v="3"/>
    <x v="3"/>
    <n v="3"/>
    <x v="542"/>
    <n v="15000"/>
    <s v="Delivered"/>
    <s v="Very Satisfied"/>
    <s v="No"/>
    <x v="12"/>
  </r>
  <r>
    <x v="550"/>
    <s v="CUST-0002"/>
    <s v="Alya Lestari"/>
    <d v="2026-04-15T00:00:00"/>
    <x v="3"/>
    <s v="Surabaya"/>
    <x v="4"/>
    <s v="Corporate"/>
    <x v="1"/>
    <x v="3"/>
    <n v="7"/>
    <x v="543"/>
    <n v="0"/>
    <s v="Delivered"/>
    <s v="Very Satisfied"/>
    <s v="Yes"/>
    <x v="1"/>
  </r>
  <r>
    <x v="551"/>
    <s v="CUST-0057"/>
    <s v="Raka Wijaya"/>
    <d v="2026-02-27T00:00:00"/>
    <x v="2"/>
    <s v="Makassar"/>
    <x v="2"/>
    <s v="Corporate"/>
    <x v="1"/>
    <x v="1"/>
    <n v="2"/>
    <x v="544"/>
    <n v="25000"/>
    <s v="Delivered"/>
    <s v="Very Satisfied"/>
    <s v="No"/>
    <x v="0"/>
  </r>
  <r>
    <x v="552"/>
    <s v="CUST-0139"/>
    <s v="Maya Pratama"/>
    <d v="2026-04-10T00:00:00"/>
    <x v="3"/>
    <s v="Medan"/>
    <x v="1"/>
    <s v="Returning Customer"/>
    <x v="2"/>
    <x v="1"/>
    <n v="1"/>
    <x v="545"/>
    <n v="50000"/>
    <s v="Delivered"/>
    <s v="Very Satisfied"/>
    <s v="Yes"/>
    <x v="0"/>
  </r>
  <r>
    <x v="553"/>
    <s v="CUST-0137"/>
    <s v="Fajar Saputra"/>
    <d v="2026-06-28T00:00:00"/>
    <x v="0"/>
    <s v="Makassar"/>
    <x v="2"/>
    <s v="New Customer"/>
    <x v="3"/>
    <x v="1"/>
    <n v="3"/>
    <x v="546"/>
    <n v="35000"/>
    <s v="Delivered"/>
    <s v="Satisfied"/>
    <s v="No"/>
    <x v="0"/>
  </r>
  <r>
    <x v="554"/>
    <s v="CUST-0022"/>
    <s v="Fajar Saputra"/>
    <d v="2026-02-23T00:00:00"/>
    <x v="2"/>
    <s v="Medan"/>
    <x v="1"/>
    <s v="New Customer"/>
    <x v="5"/>
    <x v="4"/>
    <n v="3"/>
    <x v="547"/>
    <n v="25000"/>
    <s v="Delivered"/>
    <s v="Very Satisfied"/>
    <s v="Yes"/>
    <x v="0"/>
  </r>
  <r>
    <x v="555"/>
    <s v="CUST-0160"/>
    <s v="Fajar Permata"/>
    <d v="2026-04-01T00:00:00"/>
    <x v="3"/>
    <s v="Makassar"/>
    <x v="2"/>
    <s v="Corporate"/>
    <x v="5"/>
    <x v="1"/>
    <n v="4"/>
    <x v="548"/>
    <n v="35000"/>
    <s v="Returned"/>
    <s v="Dissatisfied"/>
    <s v="Yes"/>
    <x v="0"/>
  </r>
  <r>
    <x v="556"/>
    <s v="CUST-0097"/>
    <s v="Bima Santoso"/>
    <d v="2026-06-05T00:00:00"/>
    <x v="0"/>
    <s v="Makassar"/>
    <x v="2"/>
    <s v="Vip"/>
    <x v="5"/>
    <x v="0"/>
    <n v="4"/>
    <x v="549"/>
    <n v="0"/>
    <s v="Delivered"/>
    <s v="Dissatisfied"/>
    <s v="No"/>
    <x v="1"/>
  </r>
  <r>
    <x v="557"/>
    <s v="CUST-0141"/>
    <s v="Fajar Santoso"/>
    <d v="2026-04-15T00:00:00"/>
    <x v="3"/>
    <s v="Surabaya"/>
    <x v="4"/>
    <s v="New Customer"/>
    <x v="3"/>
    <x v="3"/>
    <n v="4"/>
    <x v="550"/>
    <n v="15000"/>
    <s v="Cancelled"/>
    <s v="Very Satisfied"/>
    <s v="No"/>
    <x v="4"/>
  </r>
  <r>
    <x v="558"/>
    <s v="CUST-0058"/>
    <s v="Citra Wijaya"/>
    <d v="2026-04-14T00:00:00"/>
    <x v="3"/>
    <s v="Bandung"/>
    <x v="0"/>
    <s v="Corporate"/>
    <x v="0"/>
    <x v="2"/>
    <n v="3"/>
    <x v="551"/>
    <n v="35000"/>
    <s v="Delayed"/>
    <s v="Dissatisfied"/>
    <s v="No"/>
    <x v="0"/>
  </r>
  <r>
    <x v="559"/>
    <s v="CUST-0196"/>
    <s v="Fajar Santoso"/>
    <d v="2026-04-29T00:00:00"/>
    <x v="3"/>
    <s v="Medan"/>
    <x v="1"/>
    <s v="Corporate"/>
    <x v="5"/>
    <x v="2"/>
    <n v="4"/>
    <x v="552"/>
    <n v="0"/>
    <s v="Delivered"/>
    <s v="Satisfied"/>
    <s v="Yes"/>
    <x v="1"/>
  </r>
  <r>
    <x v="560"/>
    <s v="CUST-0036"/>
    <s v="Fajar Santoso"/>
    <d v="2026-06-06T00:00:00"/>
    <x v="0"/>
    <s v="Jakarta"/>
    <x v="3"/>
    <s v="Vip"/>
    <x v="1"/>
    <x v="0"/>
    <n v="5"/>
    <x v="553"/>
    <n v="0"/>
    <s v="Delivered"/>
    <s v="Satisfied"/>
    <s v="Yes"/>
    <x v="1"/>
  </r>
  <r>
    <x v="561"/>
    <s v="CUST-0146"/>
    <s v="Maya Lestari"/>
    <d v="2026-06-10T00:00:00"/>
    <x v="0"/>
    <s v="Medan"/>
    <x v="1"/>
    <s v="Returning Customer"/>
    <x v="5"/>
    <x v="1"/>
    <n v="3"/>
    <x v="554"/>
    <n v="0"/>
    <s v="Delivered"/>
    <s v="Satisfied"/>
    <s v="No"/>
    <x v="1"/>
  </r>
  <r>
    <x v="562"/>
    <s v="CUST-0186"/>
    <s v="Sari Santoso"/>
    <d v="2026-03-03T00:00:00"/>
    <x v="4"/>
    <s v="Surabaya"/>
    <x v="4"/>
    <s v="New Customer"/>
    <x v="4"/>
    <x v="0"/>
    <n v="6"/>
    <x v="555"/>
    <n v="35000"/>
    <s v="Cancelled"/>
    <s v="Very Satisfied"/>
    <s v="No"/>
    <x v="4"/>
  </r>
  <r>
    <x v="563"/>
    <s v="CUST-0118"/>
    <s v="Raka Dewi"/>
    <d v="2026-03-04T00:00:00"/>
    <x v="4"/>
    <s v="Jakarta"/>
    <x v="3"/>
    <s v="Vip"/>
    <x v="5"/>
    <x v="0"/>
    <n v="7"/>
    <x v="556"/>
    <n v="15000"/>
    <s v="Delivered"/>
    <s v="Satisfied"/>
    <s v="No"/>
    <x v="0"/>
  </r>
  <r>
    <x v="564"/>
    <s v="CUST-0185"/>
    <s v="Alya Dewi"/>
    <d v="2026-01-18T00:00:00"/>
    <x v="1"/>
    <s v="Medan"/>
    <x v="1"/>
    <s v="Corporate"/>
    <x v="4"/>
    <x v="1"/>
    <n v="6"/>
    <x v="557"/>
    <n v="0"/>
    <s v="Delivered"/>
    <s v="Neutral"/>
    <s v="No"/>
    <x v="1"/>
  </r>
  <r>
    <x v="565"/>
    <s v="CUST-0227"/>
    <s v="Citra Putri"/>
    <d v="2026-05-18T00:00:00"/>
    <x v="5"/>
    <s v="Jakarta"/>
    <x v="3"/>
    <s v="Vip"/>
    <x v="2"/>
    <x v="2"/>
    <n v="6"/>
    <x v="558"/>
    <n v="50000"/>
    <s v="Returned"/>
    <s v="Neutral"/>
    <s v="No"/>
    <x v="0"/>
  </r>
  <r>
    <x v="566"/>
    <s v="CUST-0103"/>
    <s v="Alya Pratama"/>
    <d v="2026-05-11T00:00:00"/>
    <x v="5"/>
    <s v="Surabaya"/>
    <x v="4"/>
    <s v="New Customer"/>
    <x v="3"/>
    <x v="0"/>
    <n v="7"/>
    <x v="559"/>
    <n v="35000"/>
    <s v="Delivered"/>
    <s v="Very Satisfied"/>
    <s v="No"/>
    <x v="0"/>
  </r>
  <r>
    <x v="567"/>
    <s v="CUST-0106"/>
    <s v="Rizky Dewi"/>
    <d v="2026-06-18T00:00:00"/>
    <x v="0"/>
    <s v="Jakarta"/>
    <x v="3"/>
    <s v="Corporate"/>
    <x v="3"/>
    <x v="1"/>
    <n v="2"/>
    <x v="560"/>
    <n v="15000"/>
    <s v="Delayed"/>
    <s v="Satisfied"/>
    <s v="Yes"/>
    <x v="0"/>
  </r>
  <r>
    <x v="568"/>
    <s v="CUST-0194"/>
    <s v="Rizky Saputra"/>
    <d v="2026-03-08T00:00:00"/>
    <x v="4"/>
    <s v="Surabaya"/>
    <x v="4"/>
    <s v="Vip"/>
    <x v="1"/>
    <x v="2"/>
    <n v="6"/>
    <x v="561"/>
    <n v="25000"/>
    <s v="Delivered"/>
    <s v="Neutral"/>
    <s v="Yes"/>
    <x v="0"/>
  </r>
  <r>
    <x v="569"/>
    <s v="CUST-0038"/>
    <s v="Dimas Permata"/>
    <d v="2026-05-14T00:00:00"/>
    <x v="5"/>
    <s v="Surabaya"/>
    <x v="4"/>
    <s v="Returning Customer"/>
    <x v="1"/>
    <x v="3"/>
    <n v="2"/>
    <x v="562"/>
    <n v="0"/>
    <s v="Delayed"/>
    <s v="Dissatisfied"/>
    <s v="No"/>
    <x v="1"/>
  </r>
  <r>
    <x v="570"/>
    <s v="CUST-0183"/>
    <s v="Bima Dewi"/>
    <d v="2026-04-23T00:00:00"/>
    <x v="3"/>
    <s v="Medan"/>
    <x v="1"/>
    <s v="Vip"/>
    <x v="3"/>
    <x v="0"/>
    <n v="6"/>
    <x v="563"/>
    <n v="15000"/>
    <s v="Delayed"/>
    <s v="Neutral"/>
    <s v="Yes"/>
    <x v="0"/>
  </r>
  <r>
    <x v="571"/>
    <s v="CUST-0218"/>
    <s v="Citra Permata"/>
    <d v="2026-02-24T00:00:00"/>
    <x v="2"/>
    <s v="Makassar"/>
    <x v="2"/>
    <s v="Corporate"/>
    <x v="2"/>
    <x v="4"/>
    <n v="5"/>
    <x v="564"/>
    <n v="15000"/>
    <s v="Delivered"/>
    <s v="Satisfied"/>
    <s v="Yes"/>
    <x v="0"/>
  </r>
  <r>
    <x v="572"/>
    <s v="CUST-0089"/>
    <s v="Raka Saputra"/>
    <d v="2026-06-14T00:00:00"/>
    <x v="0"/>
    <s v="Medan"/>
    <x v="1"/>
    <s v="Corporate"/>
    <x v="3"/>
    <x v="0"/>
    <n v="7"/>
    <x v="565"/>
    <n v="50000"/>
    <s v="Delivered"/>
    <s v="Satisfied"/>
    <s v="No"/>
    <x v="0"/>
  </r>
  <r>
    <x v="573"/>
    <s v="CUST-0045"/>
    <s v="Nadia Lestari"/>
    <d v="2026-05-04T00:00:00"/>
    <x v="5"/>
    <s v="Surabaya"/>
    <x v="4"/>
    <s v="Returning Customer"/>
    <x v="5"/>
    <x v="0"/>
    <n v="6"/>
    <x v="566"/>
    <n v="0"/>
    <s v="Cancelled"/>
    <s v="Very Satisfied"/>
    <s v="No"/>
    <x v="6"/>
  </r>
  <r>
    <x v="574"/>
    <s v="CUST-0156"/>
    <s v="Dimas Putri"/>
    <d v="2026-01-31T00:00:00"/>
    <x v="1"/>
    <s v="Jakarta"/>
    <x v="3"/>
    <s v="Returning Customer"/>
    <x v="3"/>
    <x v="0"/>
    <n v="4"/>
    <x v="567"/>
    <n v="25000"/>
    <s v="Delivered"/>
    <s v="Neutral"/>
    <s v="No"/>
    <x v="0"/>
  </r>
  <r>
    <x v="575"/>
    <s v="CUST-0171"/>
    <s v="Rizky Putri"/>
    <d v="2026-01-09T00:00:00"/>
    <x v="1"/>
    <s v="Makassar"/>
    <x v="2"/>
    <s v="New Customer"/>
    <x v="4"/>
    <x v="1"/>
    <n v="3"/>
    <x v="568"/>
    <n v="0"/>
    <s v="Delivered"/>
    <s v="Very Satisfied"/>
    <s v="Yes"/>
    <x v="1"/>
  </r>
  <r>
    <x v="576"/>
    <s v="CUST-0063"/>
    <s v="Fajar Lestari"/>
    <d v="1970-01-01T00:00:00"/>
    <x v="1"/>
    <s v="Jakarta"/>
    <x v="3"/>
    <s v="Vip"/>
    <x v="1"/>
    <x v="3"/>
    <n v="2"/>
    <x v="569"/>
    <n v="15000"/>
    <s v="Delivered"/>
    <s v=" satisfied "/>
    <s v="Yes"/>
    <x v="9"/>
  </r>
  <r>
    <x v="577"/>
    <s v="CUST-0191"/>
    <s v="Fajar Pratama"/>
    <d v="2026-02-18T00:00:00"/>
    <x v="2"/>
    <s v="Bandung"/>
    <x v="0"/>
    <s v="Corporate"/>
    <x v="2"/>
    <x v="2"/>
    <n v="5"/>
    <x v="570"/>
    <n v="15000"/>
    <s v="Delivered"/>
    <s v="Very Satisfied"/>
    <s v="Yes"/>
    <x v="0"/>
  </r>
  <r>
    <x v="578"/>
    <s v="CUST-0082"/>
    <s v="Alya Wijaya"/>
    <d v="2026-06-12T00:00:00"/>
    <x v="0"/>
    <s v="Bandung"/>
    <x v="0"/>
    <s v="New Customer"/>
    <x v="1"/>
    <x v="4"/>
    <n v="4"/>
    <x v="571"/>
    <n v="15000"/>
    <s v="Delivered"/>
    <s v="Very Satisfied"/>
    <s v="Yes"/>
    <x v="0"/>
  </r>
  <r>
    <x v="579"/>
    <s v="CUST-0154"/>
    <s v="Fajar Pratama"/>
    <d v="2026-05-05T00:00:00"/>
    <x v="5"/>
    <s v="Jakarta"/>
    <x v="3"/>
    <s v="Corporate"/>
    <x v="3"/>
    <x v="0"/>
    <n v="1"/>
    <x v="572"/>
    <n v="50000"/>
    <s v="Delivered"/>
    <s v="Neutral"/>
    <s v="No"/>
    <x v="0"/>
  </r>
  <r>
    <x v="580"/>
    <s v="CUST-0001"/>
    <s v="Maya Putri"/>
    <d v="2026-03-06T00:00:00"/>
    <x v="4"/>
    <s v="Makassar"/>
    <x v="2"/>
    <s v="Corporate"/>
    <x v="1"/>
    <x v="3"/>
    <n v="3"/>
    <x v="573"/>
    <n v="50000"/>
    <s v="Delivered"/>
    <s v="Very Satisfied"/>
    <s v="No"/>
    <x v="0"/>
  </r>
  <r>
    <x v="581"/>
    <s v="CUST-0068"/>
    <s v="Citra Dewi"/>
    <d v="2026-05-17T00:00:00"/>
    <x v="5"/>
    <s v="Medan"/>
    <x v="1"/>
    <s v="New Customer"/>
    <x v="5"/>
    <x v="1"/>
    <m/>
    <x v="574"/>
    <n v="25000"/>
    <s v=" delivered "/>
    <s v="Satisfied"/>
    <s v="Yes"/>
    <x v="7"/>
  </r>
  <r>
    <x v="582"/>
    <s v="CUST-0082"/>
    <s v="Alya Wijaya"/>
    <d v="2026-05-11T00:00:00"/>
    <x v="5"/>
    <s v="Surabaya"/>
    <x v="4"/>
    <s v="New Customer"/>
    <x v="2"/>
    <x v="3"/>
    <n v="2"/>
    <x v="575"/>
    <n v="35000"/>
    <s v="Delivered"/>
    <s v="Satisfied"/>
    <s v="Yes"/>
    <x v="0"/>
  </r>
  <r>
    <x v="583"/>
    <s v="cust-0050"/>
    <s v="Alya Permata"/>
    <d v="2026-01-28T00:00:00"/>
    <x v="1"/>
    <s v="Makassar"/>
    <x v="2"/>
    <s v="Corporate"/>
    <x v="4"/>
    <x v="3"/>
    <n v="3"/>
    <x v="576"/>
    <n v="15000"/>
    <s v="Delivered"/>
    <s v="Very Satisfied"/>
    <s v="Yes"/>
    <x v="0"/>
  </r>
  <r>
    <x v="584"/>
    <s v="CUST-0147"/>
    <s v="Bima Permata"/>
    <d v="2026-06-22T00:00:00"/>
    <x v="0"/>
    <s v="Bandung"/>
    <x v="0"/>
    <s v="Returning Customer"/>
    <x v="1"/>
    <x v="0"/>
    <n v="2"/>
    <x v="577"/>
    <n v="25000"/>
    <s v="Delivered"/>
    <s v="Satisfied"/>
    <s v="No"/>
    <x v="0"/>
  </r>
  <r>
    <x v="585"/>
    <s v="CUST-0133"/>
    <s v="Nadia Wijaya"/>
    <d v="2026-02-05T00:00:00"/>
    <x v="2"/>
    <s v="Surabaya"/>
    <x v="4"/>
    <s v="Vip"/>
    <x v="5"/>
    <x v="3"/>
    <n v="2"/>
    <x v="578"/>
    <n v="25000"/>
    <s v="Cancelled"/>
    <s v="Satisfied"/>
    <s v="No"/>
    <x v="4"/>
  </r>
  <r>
    <x v="586"/>
    <s v="CUST-0187"/>
    <s v="Bima Wijaya"/>
    <d v="2026-04-01T00:00:00"/>
    <x v="3"/>
    <s v="Medan"/>
    <x v="1"/>
    <s v="New Customer"/>
    <x v="2"/>
    <x v="2"/>
    <n v="3"/>
    <x v="579"/>
    <n v="35000"/>
    <s v="Delivered"/>
    <s v="Satisfied"/>
    <s v="No"/>
    <x v="0"/>
  </r>
  <r>
    <x v="587"/>
    <s v="CUST-0091"/>
    <s v="Rizky Pratama"/>
    <d v="2026-06-15T00:00:00"/>
    <x v="0"/>
    <s v="Bandung"/>
    <x v="0"/>
    <s v="Returning Customer"/>
    <x v="3"/>
    <x v="3"/>
    <n v="7"/>
    <x v="580"/>
    <n v="35000"/>
    <s v="Delivered"/>
    <s v="Neutral"/>
    <s v="No"/>
    <x v="0"/>
  </r>
  <r>
    <x v="588"/>
    <s v="CUST-0214"/>
    <s v="Maya Pratama"/>
    <d v="2026-04-06T00:00:00"/>
    <x v="3"/>
    <s v="Bandung"/>
    <x v="0"/>
    <s v="Returning Customer"/>
    <x v="1"/>
    <x v="4"/>
    <n v="4"/>
    <x v="581"/>
    <n v="25000"/>
    <s v="Delayed"/>
    <s v="Neutral"/>
    <s v="No"/>
    <x v="0"/>
  </r>
  <r>
    <x v="589"/>
    <s v="CUST-0220"/>
    <s v="Citra Putri"/>
    <d v="2026-03-12T00:00:00"/>
    <x v="4"/>
    <s v="Makassar"/>
    <x v="2"/>
    <s v="Corporate"/>
    <x v="4"/>
    <x v="1"/>
    <n v="2"/>
    <x v="582"/>
    <n v="0"/>
    <s v="Delivered"/>
    <s v="Satisfied"/>
    <s v="No"/>
    <x v="1"/>
  </r>
  <r>
    <x v="590"/>
    <s v="CUST-0064"/>
    <s v="Citra Wijaya"/>
    <d v="2026-03-13T00:00:00"/>
    <x v="4"/>
    <s v="Makassar"/>
    <x v="2"/>
    <s v="Vip"/>
    <x v="2"/>
    <x v="3"/>
    <n v="1"/>
    <x v="583"/>
    <n v="0"/>
    <s v="Delivered"/>
    <s v="Very Satisfied"/>
    <s v="Yes"/>
    <x v="1"/>
  </r>
  <r>
    <x v="591"/>
    <s v="CUST-0121"/>
    <s v="Rizky Saputra"/>
    <d v="2026-02-04T00:00:00"/>
    <x v="2"/>
    <s v="Bandung"/>
    <x v="0"/>
    <s v="Vip"/>
    <x v="1"/>
    <x v="0"/>
    <n v="7"/>
    <x v="584"/>
    <n v="25000"/>
    <s v="Delivered"/>
    <s v="Neutral"/>
    <s v="Yes"/>
    <x v="0"/>
  </r>
  <r>
    <x v="592"/>
    <s v="CUST-0113"/>
    <s v="Raka Dewi"/>
    <d v="2026-03-04T00:00:00"/>
    <x v="4"/>
    <s v="Makassar"/>
    <x v="2"/>
    <s v="Vip"/>
    <x v="3"/>
    <x v="2"/>
    <n v="5"/>
    <x v="585"/>
    <n v="50000"/>
    <s v="Delivered"/>
    <s v="Very Satisfied"/>
    <s v="Yes"/>
    <x v="0"/>
  </r>
  <r>
    <x v="593"/>
    <s v="CUST-0198"/>
    <s v="Citra Santoso"/>
    <d v="2026-01-18T00:00:00"/>
    <x v="1"/>
    <s v="Bandung"/>
    <x v="0"/>
    <s v="Vip"/>
    <x v="2"/>
    <x v="0"/>
    <n v="7"/>
    <x v="586"/>
    <n v="25000"/>
    <s v="Delivered"/>
    <s v="Neutral"/>
    <s v="No"/>
    <x v="0"/>
  </r>
  <r>
    <x v="594"/>
    <s v="CUST-0093"/>
    <s v="Citra Lestari"/>
    <d v="2026-03-27T00:00:00"/>
    <x v="4"/>
    <s v="Bandung"/>
    <x v="0"/>
    <s v="New Customer"/>
    <x v="3"/>
    <x v="1"/>
    <n v="3"/>
    <x v="587"/>
    <n v="25000"/>
    <s v="Delivered"/>
    <s v="Dissatisfied"/>
    <s v="No"/>
    <x v="0"/>
  </r>
  <r>
    <x v="595"/>
    <s v="CUST-0102"/>
    <s v="Rizky Santoso"/>
    <d v="2026-05-05T00:00:00"/>
    <x v="5"/>
    <s v="Jakarta"/>
    <x v="3"/>
    <s v="Corporate"/>
    <x v="4"/>
    <x v="4"/>
    <n v="1"/>
    <x v="59"/>
    <n v="50000"/>
    <s v="Cancelled"/>
    <s v="Satisfied"/>
    <s v="No"/>
    <x v="3"/>
  </r>
  <r>
    <x v="596"/>
    <s v="CUST-0203"/>
    <s v="Maya Permata"/>
    <d v="2026-05-18T00:00:00"/>
    <x v="5"/>
    <s v="Jakarta"/>
    <x v="3"/>
    <s v="New Customer"/>
    <x v="1"/>
    <x v="2"/>
    <n v="5"/>
    <x v="588"/>
    <n v="25000"/>
    <s v="Delivered"/>
    <s v="Very Satisfied"/>
    <s v="Yes"/>
    <x v="0"/>
  </r>
  <r>
    <x v="597"/>
    <s v="CUST-0205"/>
    <s v="Citra Putri"/>
    <d v="2026-05-12T00:00:00"/>
    <x v="5"/>
    <s v="Jakarta"/>
    <x v="3"/>
    <s v="Corporate"/>
    <x v="0"/>
    <x v="1"/>
    <n v="4"/>
    <x v="589"/>
    <n v="50000"/>
    <s v="Delivered"/>
    <s v="Dissatisfied"/>
    <s v="No"/>
    <x v="0"/>
  </r>
  <r>
    <x v="598"/>
    <s v="CUST-0228"/>
    <s v="Fajar Santoso"/>
    <d v="2026-02-08T00:00:00"/>
    <x v="2"/>
    <s v="Makassar"/>
    <x v="2"/>
    <s v="Corporate"/>
    <x v="4"/>
    <x v="1"/>
    <n v="2"/>
    <x v="590"/>
    <n v="0"/>
    <s v="Delivered"/>
    <s v="Very Satisfied"/>
    <s v="No"/>
    <x v="1"/>
  </r>
  <r>
    <x v="599"/>
    <s v="CUST-0002"/>
    <s v="Alya Lestari"/>
    <d v="2026-06-09T00:00:00"/>
    <x v="0"/>
    <s v="Surabaya"/>
    <x v="4"/>
    <s v="Returning Customer"/>
    <x v="1"/>
    <x v="3"/>
    <n v="1"/>
    <x v="591"/>
    <n v="0"/>
    <s v="Delivered"/>
    <s v="Satisfied"/>
    <s v="No"/>
    <x v="1"/>
  </r>
  <r>
    <x v="600"/>
    <s v="CUST-0168"/>
    <s v="Bima Putri"/>
    <d v="2026-06-20T00:00:00"/>
    <x v="0"/>
    <s v="Bandung"/>
    <x v="0"/>
    <s v="Returning Customer"/>
    <x v="5"/>
    <x v="3"/>
    <n v="3"/>
    <x v="592"/>
    <n v="50000"/>
    <s v="Delayed"/>
    <s v="Neutral"/>
    <s v="Yes"/>
    <x v="0"/>
  </r>
  <r>
    <x v="601"/>
    <s v="CUST-0026"/>
    <s v="Nadia Putri"/>
    <d v="2026-01-07T00:00:00"/>
    <x v="1"/>
    <s v="Surabaya"/>
    <x v="4"/>
    <s v="New Customer"/>
    <x v="0"/>
    <x v="3"/>
    <n v="7"/>
    <x v="593"/>
    <n v="50000"/>
    <s v="Delivered"/>
    <s v="Very Satisfied"/>
    <s v="Yes"/>
    <x v="0"/>
  </r>
  <r>
    <x v="602"/>
    <s v="CUST-0169"/>
    <s v="Citra Permata"/>
    <d v="2026-02-23T00:00:00"/>
    <x v="2"/>
    <s v="Bandung"/>
    <x v="0"/>
    <s v="Vip"/>
    <x v="4"/>
    <x v="0"/>
    <n v="2"/>
    <x v="594"/>
    <n v="25000"/>
    <s v="Delivered"/>
    <s v="Very Satisfied"/>
    <s v="No"/>
    <x v="0"/>
  </r>
  <r>
    <x v="603"/>
    <s v="CUST-0032"/>
    <s v="Sari Santoso"/>
    <d v="2026-04-07T00:00:00"/>
    <x v="3"/>
    <s v="Medan"/>
    <x v="1"/>
    <s v="New Customer"/>
    <x v="2"/>
    <x v="1"/>
    <n v="7"/>
    <x v="595"/>
    <n v="35000"/>
    <s v="Delivered"/>
    <s v="Satisfied"/>
    <s v="No"/>
    <x v="0"/>
  </r>
  <r>
    <x v="604"/>
    <s v="CUST-0051"/>
    <s v="Rizky Dewi"/>
    <d v="2026-02-22T00:00:00"/>
    <x v="2"/>
    <s v="Makassar"/>
    <x v="2"/>
    <s v="New Customer"/>
    <x v="5"/>
    <x v="0"/>
    <n v="7"/>
    <x v="596"/>
    <n v="50000"/>
    <s v="Delivered"/>
    <s v="Dissatisfied"/>
    <s v="Yes"/>
    <x v="0"/>
  </r>
  <r>
    <x v="605"/>
    <s v="CUST-0126"/>
    <s v="Fajar Wijaya"/>
    <d v="2026-06-04T00:00:00"/>
    <x v="0"/>
    <s v="Makassar"/>
    <x v="2"/>
    <s v="Vip"/>
    <x v="2"/>
    <x v="3"/>
    <n v="4"/>
    <x v="597"/>
    <n v="25000"/>
    <s v="Delivered"/>
    <s v="Dissatisfied"/>
    <s v="Yes"/>
    <x v="0"/>
  </r>
  <r>
    <x v="606"/>
    <s v="CUST-0117"/>
    <s v="Alya Wijaya"/>
    <d v="2026-01-05T00:00:00"/>
    <x v="1"/>
    <s v="Jakarta"/>
    <x v="3"/>
    <s v="Vip"/>
    <x v="0"/>
    <x v="3"/>
    <n v="7"/>
    <x v="598"/>
    <n v="35000"/>
    <s v="Delivered"/>
    <s v="Dissatisfied"/>
    <s v="Yes"/>
    <x v="0"/>
  </r>
  <r>
    <x v="607"/>
    <s v="CUST-0112"/>
    <s v="Nadia Lestari"/>
    <d v="2026-06-16T00:00:00"/>
    <x v="0"/>
    <s v="Medan"/>
    <x v="1"/>
    <s v="Corporate"/>
    <x v="4"/>
    <x v="3"/>
    <n v="6"/>
    <x v="599"/>
    <n v="15000"/>
    <s v="Delivered"/>
    <s v="Satisfied"/>
    <s v="No"/>
    <x v="0"/>
  </r>
  <r>
    <x v="608"/>
    <s v="CUST-0012"/>
    <s v="Sari Saputra"/>
    <d v="2026-02-06T00:00:00"/>
    <x v="2"/>
    <s v="Bandung"/>
    <x v="0"/>
    <s v="Corporate"/>
    <x v="4"/>
    <x v="2"/>
    <n v="5"/>
    <x v="600"/>
    <n v="15000"/>
    <s v="Delivered"/>
    <s v="Satisfied"/>
    <s v="Yes"/>
    <x v="0"/>
  </r>
  <r>
    <x v="609"/>
    <s v="CUST-0222"/>
    <s v="Raka Pratama"/>
    <d v="2026-06-19T00:00:00"/>
    <x v="0"/>
    <s v="Bandung"/>
    <x v="0"/>
    <s v="Returning Customer"/>
    <x v="1"/>
    <x v="0"/>
    <n v="5"/>
    <x v="601"/>
    <n v="25000"/>
    <s v="Delivered"/>
    <s v="Very Satisfied"/>
    <s v="Yes"/>
    <x v="0"/>
  </r>
  <r>
    <x v="610"/>
    <s v="CUST-0094"/>
    <s v="Maya Putri"/>
    <d v="2026-01-29T00:00:00"/>
    <x v="1"/>
    <s v="Surabaya"/>
    <x v="4"/>
    <s v="Vip"/>
    <x v="1"/>
    <x v="3"/>
    <n v="4"/>
    <x v="602"/>
    <n v="0"/>
    <s v="Delivered"/>
    <s v="Satisfied"/>
    <s v="Yes"/>
    <x v="1"/>
  </r>
  <r>
    <x v="611"/>
    <s v="CUST-0201"/>
    <s v="Citra Pratama"/>
    <d v="2026-01-07T00:00:00"/>
    <x v="1"/>
    <s v="Medan"/>
    <x v="1"/>
    <s v="New Customer"/>
    <x v="1"/>
    <x v="1"/>
    <n v="4"/>
    <x v="603"/>
    <n v="0"/>
    <s v="Delivered"/>
    <s v="Neutral"/>
    <s v="Yes"/>
    <x v="1"/>
  </r>
  <r>
    <x v="612"/>
    <s v="CUST-0041"/>
    <s v="Sari Putri"/>
    <d v="2026-01-26T00:00:00"/>
    <x v="1"/>
    <s v="Jakarta"/>
    <x v="3"/>
    <s v="Corporate"/>
    <x v="2"/>
    <x v="1"/>
    <n v="2"/>
    <x v="604"/>
    <n v="25000"/>
    <s v="Delivered"/>
    <s v="Dissatisfied"/>
    <s v="No"/>
    <x v="0"/>
  </r>
  <r>
    <x v="613"/>
    <s v="CUST-0035"/>
    <s v="Maya Wijaya"/>
    <d v="2026-06-04T00:00:00"/>
    <x v="0"/>
    <s v="Bandung"/>
    <x v="0"/>
    <s v="Vip"/>
    <x v="3"/>
    <x v="4"/>
    <n v="4"/>
    <x v="605"/>
    <n v="25000"/>
    <s v="Delivered"/>
    <s v="Neutral"/>
    <s v="No"/>
    <x v="0"/>
  </r>
  <r>
    <x v="614"/>
    <s v="CUST-0158"/>
    <s v="Fajar Saputra"/>
    <d v="2026-06-21T00:00:00"/>
    <x v="0"/>
    <s v="Bandung"/>
    <x v="0"/>
    <s v="Returning Customer"/>
    <x v="5"/>
    <x v="4"/>
    <n v="4"/>
    <x v="606"/>
    <n v="35000"/>
    <s v="Delivered"/>
    <s v="Neutral"/>
    <s v="Yes"/>
    <x v="0"/>
  </r>
  <r>
    <x v="615"/>
    <s v="CUST-0207"/>
    <s v="Fajar Santoso"/>
    <d v="2026-02-06T00:00:00"/>
    <x v="2"/>
    <s v="Makassar"/>
    <x v="2"/>
    <s v="New Customer"/>
    <x v="5"/>
    <x v="0"/>
    <n v="6"/>
    <x v="607"/>
    <n v="0"/>
    <s v="Delivered"/>
    <m/>
    <s v="No"/>
    <x v="13"/>
  </r>
  <r>
    <x v="616"/>
    <s v="CUST-0048"/>
    <s v="Rizky Wijaya"/>
    <d v="2026-06-18T00:00:00"/>
    <x v="0"/>
    <s v="Makassar"/>
    <x v="2"/>
    <s v="Vip"/>
    <x v="5"/>
    <x v="3"/>
    <n v="6"/>
    <x v="608"/>
    <n v="25000"/>
    <s v="Returned"/>
    <s v="Neutral"/>
    <s v="No"/>
    <x v="0"/>
  </r>
  <r>
    <x v="617"/>
    <s v="CUST-0096"/>
    <s v="Alya Saputra"/>
    <d v="2026-06-19T00:00:00"/>
    <x v="0"/>
    <s v="Medan"/>
    <x v="1"/>
    <s v="New Customer"/>
    <x v="5"/>
    <x v="0"/>
    <n v="6"/>
    <x v="609"/>
    <n v="50000"/>
    <s v="Cancelled"/>
    <s v="Very Satisfied"/>
    <s v="Yes"/>
    <x v="4"/>
  </r>
  <r>
    <x v="618"/>
    <s v="CUST-0037"/>
    <s v="Maya Santoso"/>
    <d v="2026-06-12T00:00:00"/>
    <x v="0"/>
    <s v="Medan"/>
    <x v="1"/>
    <s v="Corporate"/>
    <x v="0"/>
    <x v="0"/>
    <n v="2"/>
    <x v="610"/>
    <n v="15000"/>
    <s v="Delivered"/>
    <s v="Very Satisfied"/>
    <s v="No"/>
    <x v="0"/>
  </r>
  <r>
    <x v="619"/>
    <s v="CUST-0116"/>
    <s v="Nadia Lestari"/>
    <d v="2026-02-24T00:00:00"/>
    <x v="2"/>
    <s v="Surabaya"/>
    <x v="4"/>
    <s v="Vip"/>
    <x v="0"/>
    <x v="0"/>
    <n v="3"/>
    <x v="611"/>
    <n v="50000"/>
    <s v="Delivered"/>
    <s v=" very satisfied "/>
    <s v="No"/>
    <x v="0"/>
  </r>
  <r>
    <x v="620"/>
    <s v="CUST-0088"/>
    <s v="Raka Santoso"/>
    <d v="2026-05-05T00:00:00"/>
    <x v="5"/>
    <s v="Makassar"/>
    <x v="2"/>
    <s v="Vip"/>
    <x v="4"/>
    <x v="3"/>
    <n v="6"/>
    <x v="612"/>
    <n v="35000"/>
    <s v="Delivered"/>
    <s v="Neutral"/>
    <s v="No"/>
    <x v="0"/>
  </r>
  <r>
    <x v="621"/>
    <s v="CUST-0165"/>
    <s v="Dimas Permata"/>
    <d v="2026-01-07T00:00:00"/>
    <x v="1"/>
    <s v="Jakarta"/>
    <x v="3"/>
    <s v="New Customer"/>
    <x v="1"/>
    <x v="3"/>
    <n v="1"/>
    <x v="613"/>
    <n v="15000"/>
    <s v="Delivered"/>
    <s v="Satisfied"/>
    <s v="Yes"/>
    <x v="0"/>
  </r>
  <r>
    <x v="622"/>
    <s v="CUST-0224"/>
    <s v="Sari Permata"/>
    <d v="2026-03-30T00:00:00"/>
    <x v="4"/>
    <s v="Makassar"/>
    <x v="2"/>
    <s v="Returning Customer"/>
    <x v="2"/>
    <x v="4"/>
    <n v="4"/>
    <x v="614"/>
    <n v="35000"/>
    <s v="Delivered"/>
    <s v="Dissatisfied"/>
    <s v="Yes"/>
    <x v="0"/>
  </r>
  <r>
    <x v="623"/>
    <s v="CUST-0037"/>
    <s v="Maya Santoso"/>
    <d v="2026-06-24T00:00:00"/>
    <x v="0"/>
    <s v="Makassar"/>
    <x v="2"/>
    <s v="Returning Customer"/>
    <x v="1"/>
    <x v="4"/>
    <n v="2"/>
    <x v="615"/>
    <n v="0"/>
    <s v="Delivered"/>
    <s v="Satisfied"/>
    <s v="Yes"/>
    <x v="1"/>
  </r>
  <r>
    <x v="624"/>
    <s v="CUST-0205"/>
    <s v="Citra Putri"/>
    <d v="2026-05-17T00:00:00"/>
    <x v="5"/>
    <s v="Bandung"/>
    <x v="0"/>
    <s v="Vip"/>
    <x v="5"/>
    <x v="2"/>
    <n v="2"/>
    <x v="616"/>
    <n v="50000"/>
    <s v=" delivered "/>
    <s v="Dissatisfied"/>
    <s v="Yes"/>
    <x v="0"/>
  </r>
  <r>
    <x v="625"/>
    <s v="CUST-0163"/>
    <s v="Sari Putri"/>
    <d v="2026-06-12T00:00:00"/>
    <x v="0"/>
    <s v="Bandung"/>
    <x v="0"/>
    <s v="Vip"/>
    <x v="4"/>
    <x v="1"/>
    <n v="5"/>
    <x v="617"/>
    <n v="15000"/>
    <s v="Cancelled"/>
    <s v="Satisfied"/>
    <s v="No"/>
    <x v="4"/>
  </r>
  <r>
    <x v="626"/>
    <s v="CUST-0100"/>
    <s v="Raka Pratama"/>
    <d v="2026-05-14T00:00:00"/>
    <x v="5"/>
    <s v="Sby"/>
    <x v="4"/>
    <s v="New Customer"/>
    <x v="4"/>
    <x v="3"/>
    <n v="4"/>
    <x v="618"/>
    <n v="35000"/>
    <s v="Delivered"/>
    <s v="Satisfied"/>
    <s v="No"/>
    <x v="0"/>
  </r>
  <r>
    <x v="627"/>
    <s v="CUST-0054"/>
    <s v="Raka Permata"/>
    <d v="2026-06-06T00:00:00"/>
    <x v="0"/>
    <s v="Bandung"/>
    <x v="0"/>
    <s v="Returning Customer"/>
    <x v="2"/>
    <x v="0"/>
    <n v="7"/>
    <x v="619"/>
    <n v="0"/>
    <s v="Delivered"/>
    <s v="Very Satisfied"/>
    <s v="No"/>
    <x v="1"/>
  </r>
  <r>
    <x v="628"/>
    <s v="CUST-0101"/>
    <s v="Alya Putri"/>
    <d v="2026-06-01T00:00:00"/>
    <x v="0"/>
    <s v="Surabaya"/>
    <x v="4"/>
    <s v="Returning Customer"/>
    <x v="2"/>
    <x v="2"/>
    <n v="7"/>
    <x v="620"/>
    <n v="15000"/>
    <s v="Delivered"/>
    <s v="Very Satisfied"/>
    <s v="Yes"/>
    <x v="0"/>
  </r>
  <r>
    <x v="629"/>
    <s v="CUST-0053"/>
    <s v="Raka Putri"/>
    <d v="2026-04-24T00:00:00"/>
    <x v="3"/>
    <s v="Makassar"/>
    <x v="2"/>
    <s v="Vip"/>
    <x v="1"/>
    <x v="2"/>
    <n v="7"/>
    <x v="621"/>
    <n v="25000"/>
    <s v="Delivered"/>
    <s v="Satisfied"/>
    <s v="No"/>
    <x v="0"/>
  </r>
  <r>
    <x v="630"/>
    <s v="CUST-0060"/>
    <s v="Alya Santoso"/>
    <d v="2026-06-19T00:00:00"/>
    <x v="0"/>
    <s v="Medan"/>
    <x v="1"/>
    <s v="Returning Customer"/>
    <x v="4"/>
    <x v="3"/>
    <n v="7"/>
    <x v="622"/>
    <n v="25000"/>
    <s v="Delivered"/>
    <s v="Satisfied"/>
    <s v="No"/>
    <x v="0"/>
  </r>
  <r>
    <x v="631"/>
    <s v="CUST-0011"/>
    <s v="Maya Saputra"/>
    <d v="2026-04-08T00:00:00"/>
    <x v="3"/>
    <s v="Medan"/>
    <x v="1"/>
    <s v="Vip"/>
    <x v="5"/>
    <x v="4"/>
    <n v="6"/>
    <x v="623"/>
    <n v="0"/>
    <s v="Delivered"/>
    <s v="Satisfied"/>
    <s v="Yes"/>
    <x v="1"/>
  </r>
  <r>
    <x v="632"/>
    <s v="CUST-0023"/>
    <s v="Maya Permata"/>
    <d v="2026-06-04T00:00:00"/>
    <x v="0"/>
    <s v="Medan"/>
    <x v="1"/>
    <s v="Corporate"/>
    <x v="4"/>
    <x v="2"/>
    <n v="7"/>
    <x v="624"/>
    <n v="15000"/>
    <s v="Delayed"/>
    <s v="Dissatisfied"/>
    <s v="No"/>
    <x v="0"/>
  </r>
  <r>
    <x v="633"/>
    <s v="CUST-0216"/>
    <s v="Raka Putri"/>
    <d v="2026-03-12T00:00:00"/>
    <x v="4"/>
    <s v="Surabaya"/>
    <x v="4"/>
    <s v="New Customer"/>
    <x v="4"/>
    <x v="2"/>
    <n v="3"/>
    <x v="625"/>
    <n v="50000"/>
    <s v="Delivered"/>
    <s v="Neutral"/>
    <s v="No"/>
    <x v="0"/>
  </r>
  <r>
    <x v="634"/>
    <s v="CUST-0063"/>
    <s v="Fajar Lestari"/>
    <d v="2026-05-30T00:00:00"/>
    <x v="5"/>
    <s v="Medan"/>
    <x v="1"/>
    <s v="Corporate"/>
    <x v="1"/>
    <x v="4"/>
    <n v="5"/>
    <x v="626"/>
    <n v="15000"/>
    <s v="Delivered"/>
    <s v="Very Satisfied"/>
    <s v="No"/>
    <x v="0"/>
  </r>
  <r>
    <x v="635"/>
    <s v="CUST-0011"/>
    <s v="Maya Saputra"/>
    <d v="2026-06-04T00:00:00"/>
    <x v="0"/>
    <s v="Jakarta"/>
    <x v="3"/>
    <s v="Returning Customer"/>
    <x v="0"/>
    <x v="4"/>
    <n v="7"/>
    <x v="627"/>
    <n v="50000"/>
    <s v="Delayed"/>
    <s v="Neutral"/>
    <s v="No"/>
    <x v="0"/>
  </r>
  <r>
    <x v="636"/>
    <s v="CUST-0209"/>
    <s v="Nadia Putri"/>
    <d v="2026-04-11T00:00:00"/>
    <x v="3"/>
    <s v="Makassar"/>
    <x v="2"/>
    <s v="New Customer"/>
    <x v="2"/>
    <x v="1"/>
    <n v="6"/>
    <x v="628"/>
    <n v="25000"/>
    <s v="Delayed"/>
    <s v="Neutral"/>
    <s v="Yes"/>
    <x v="0"/>
  </r>
  <r>
    <x v="637"/>
    <s v="CUST-0056"/>
    <s v="Maya Santoso"/>
    <d v="2026-05-26T00:00:00"/>
    <x v="5"/>
    <s v="Medan"/>
    <x v="1"/>
    <s v="New Customer"/>
    <x v="3"/>
    <x v="1"/>
    <n v="6"/>
    <x v="629"/>
    <n v="0"/>
    <s v="Cancelled"/>
    <s v="Very Satisfied"/>
    <s v="No"/>
    <x v="6"/>
  </r>
  <r>
    <x v="638"/>
    <s v="CUST-0092"/>
    <s v="Maya Lestari"/>
    <d v="2026-06-24T00:00:00"/>
    <x v="0"/>
    <s v="Surabaya"/>
    <x v="4"/>
    <s v="Corporate"/>
    <x v="3"/>
    <x v="3"/>
    <n v="2"/>
    <x v="630"/>
    <n v="25000"/>
    <s v="Delivered"/>
    <s v="Neutral"/>
    <s v="Yes"/>
    <x v="0"/>
  </r>
  <r>
    <x v="639"/>
    <s v="CUST-0054"/>
    <s v="Raka Permata"/>
    <d v="2026-05-23T00:00:00"/>
    <x v="5"/>
    <s v="Bandung"/>
    <x v="0"/>
    <s v="Corporate"/>
    <x v="4"/>
    <x v="3"/>
    <n v="6"/>
    <x v="631"/>
    <n v="25000"/>
    <s v="Delivered"/>
    <s v="Very Satisfied"/>
    <s v="No"/>
    <x v="0"/>
  </r>
  <r>
    <x v="640"/>
    <s v="CUST-0158"/>
    <s v="Fajar Saputra"/>
    <d v="2026-05-18T00:00:00"/>
    <x v="5"/>
    <s v="Jakarta"/>
    <x v="3"/>
    <s v="Corporate"/>
    <x v="0"/>
    <x v="4"/>
    <n v="7"/>
    <x v="632"/>
    <n v="25000"/>
    <s v="Delivered"/>
    <s v="Neutral"/>
    <s v="No"/>
    <x v="0"/>
  </r>
  <r>
    <x v="641"/>
    <s v="CUST-0164"/>
    <s v="Nadia Santoso"/>
    <d v="2026-02-17T00:00:00"/>
    <x v="2"/>
    <s v="Medan"/>
    <x v="1"/>
    <s v="Vip"/>
    <x v="5"/>
    <x v="0"/>
    <n v="3"/>
    <x v="633"/>
    <n v="15000"/>
    <s v="Delayed"/>
    <s v="Neutral"/>
    <s v="No"/>
    <x v="0"/>
  </r>
  <r>
    <x v="642"/>
    <s v="CUST-0005"/>
    <s v="Nadia Saputra"/>
    <d v="2026-01-29T00:00:00"/>
    <x v="1"/>
    <s v="Makassar"/>
    <x v="2"/>
    <s v="Vip"/>
    <x v="1"/>
    <x v="4"/>
    <n v="3"/>
    <x v="634"/>
    <n v="50000"/>
    <s v="Cancelled"/>
    <s v="Satisfied"/>
    <s v="Yes"/>
    <x v="4"/>
  </r>
  <r>
    <x v="643"/>
    <s v="CUST-0102"/>
    <s v="Rizky Santoso"/>
    <d v="2026-06-08T00:00:00"/>
    <x v="0"/>
    <s v="Medan"/>
    <x v="1"/>
    <s v="Vip"/>
    <x v="5"/>
    <x v="3"/>
    <n v="1"/>
    <x v="635"/>
    <n v="15000"/>
    <s v="Delivered"/>
    <s v="Satisfied"/>
    <s v="No"/>
    <x v="0"/>
  </r>
  <r>
    <x v="644"/>
    <s v="CUST-0102"/>
    <s v="Rizky Santoso"/>
    <d v="2026-04-02T00:00:00"/>
    <x v="3"/>
    <s v="Surabaya"/>
    <x v="4"/>
    <s v="New Customer"/>
    <x v="0"/>
    <x v="0"/>
    <n v="7"/>
    <x v="636"/>
    <n v="0"/>
    <s v="Returned"/>
    <s v="Dissatisfied"/>
    <s v="No"/>
    <x v="1"/>
  </r>
  <r>
    <x v="645"/>
    <s v="CUST-0212"/>
    <s v="Maya Santoso"/>
    <d v="2026-01-11T00:00:00"/>
    <x v="1"/>
    <s v="Medan"/>
    <x v="1"/>
    <s v="Returning Customer"/>
    <x v="3"/>
    <x v="0"/>
    <n v="2"/>
    <x v="637"/>
    <n v="50000"/>
    <s v="Delivered"/>
    <s v="Very Satisfied"/>
    <s v="Yes"/>
    <x v="0"/>
  </r>
  <r>
    <x v="646"/>
    <s v="CUST-0225"/>
    <s v="Alya Santoso"/>
    <d v="2026-02-27T00:00:00"/>
    <x v="2"/>
    <s v="Jakarta"/>
    <x v="3"/>
    <s v="Corporate"/>
    <x v="2"/>
    <x v="1"/>
    <n v="2"/>
    <x v="638"/>
    <n v="15000"/>
    <s v="Delivered"/>
    <s v="Very Satisfied"/>
    <s v="Yes"/>
    <x v="0"/>
  </r>
  <r>
    <x v="647"/>
    <s v="CUST-0106"/>
    <s v="Rizky Dewi"/>
    <d v="2026-02-17T00:00:00"/>
    <x v="2"/>
    <s v="Medan"/>
    <x v="1"/>
    <s v="Vip"/>
    <x v="3"/>
    <x v="3"/>
    <n v="4"/>
    <x v="639"/>
    <n v="50000"/>
    <s v="Delivered"/>
    <s v="Neutral"/>
    <s v="No"/>
    <x v="0"/>
  </r>
  <r>
    <x v="648"/>
    <s v="CUST-0111"/>
    <s v="Fajar Wijaya"/>
    <d v="2026-04-05T00:00:00"/>
    <x v="3"/>
    <s v="Bandung"/>
    <x v="0"/>
    <s v="Vip"/>
    <x v="3"/>
    <x v="0"/>
    <n v="3"/>
    <x v="640"/>
    <n v="15000"/>
    <s v="Delivered"/>
    <s v="Very Satisfied"/>
    <s v="Yes"/>
    <x v="0"/>
  </r>
  <r>
    <x v="649"/>
    <s v="CUST-0025"/>
    <s v="Dimas Dewi"/>
    <d v="2026-05-10T00:00:00"/>
    <x v="5"/>
    <s v="Bandung"/>
    <x v="0"/>
    <s v="Vip"/>
    <x v="3"/>
    <x v="4"/>
    <n v="3"/>
    <x v="641"/>
    <n v="50000"/>
    <s v="Delivered"/>
    <s v="Neutral"/>
    <s v="Yes"/>
    <x v="0"/>
  </r>
  <r>
    <x v="650"/>
    <s v="CUST-0120"/>
    <s v="Fajar Pratama"/>
    <d v="2026-03-10T00:00:00"/>
    <x v="4"/>
    <s v="Jakarta"/>
    <x v="3"/>
    <s v="Returning Customer"/>
    <x v="4"/>
    <x v="4"/>
    <n v="5"/>
    <x v="642"/>
    <n v="35000"/>
    <s v="Delivered"/>
    <s v="Satisfied"/>
    <s v="No"/>
    <x v="0"/>
  </r>
  <r>
    <x v="651"/>
    <s v="CUST-0144"/>
    <s v="Nadia Putri"/>
    <d v="2026-06-16T00:00:00"/>
    <x v="0"/>
    <s v="Jakarta"/>
    <x v="3"/>
    <s v="Vip"/>
    <x v="1"/>
    <x v="3"/>
    <n v="4"/>
    <x v="643"/>
    <n v="25000"/>
    <s v="Delayed"/>
    <s v="Neutral"/>
    <s v="Yes"/>
    <x v="0"/>
  </r>
  <r>
    <x v="652"/>
    <s v="CUST-0183"/>
    <s v="Bima Dewi"/>
    <d v="2026-06-03T00:00:00"/>
    <x v="0"/>
    <s v="Medan"/>
    <x v="1"/>
    <s v="Returning Customer"/>
    <x v="3"/>
    <x v="1"/>
    <n v="6"/>
    <x v="644"/>
    <n v="35000"/>
    <s v="Delivered"/>
    <s v="Very Satisfied"/>
    <s v="No"/>
    <x v="0"/>
  </r>
  <r>
    <x v="653"/>
    <s v="CUST-0138"/>
    <s v="Nadia Santoso"/>
    <d v="2026-06-28T00:00:00"/>
    <x v="0"/>
    <s v="Medan"/>
    <x v="1"/>
    <s v="Returning Customer"/>
    <x v="1"/>
    <x v="4"/>
    <n v="2"/>
    <x v="645"/>
    <n v="25000"/>
    <s v="Delivered"/>
    <s v="Neutral"/>
    <s v="No"/>
    <x v="0"/>
  </r>
  <r>
    <x v="654"/>
    <s v="CUST-0221"/>
    <s v="Alya Lestari"/>
    <d v="2026-01-02T00:00:00"/>
    <x v="1"/>
    <s v="Makassar"/>
    <x v="2"/>
    <s v="New Customer"/>
    <x v="1"/>
    <x v="1"/>
    <n v="5"/>
    <x v="646"/>
    <n v="25000"/>
    <s v="Delivered"/>
    <s v="Dissatisfied"/>
    <s v="Yes"/>
    <x v="0"/>
  </r>
  <r>
    <x v="655"/>
    <s v="CUST-0188"/>
    <s v="Citra Saputra"/>
    <d v="2026-02-19T00:00:00"/>
    <x v="2"/>
    <s v="Bandung"/>
    <x v="0"/>
    <s v="New Customer"/>
    <x v="3"/>
    <x v="1"/>
    <n v="7"/>
    <x v="647"/>
    <n v="50000"/>
    <s v="Delivered"/>
    <s v="Very Satisfied"/>
    <s v="Yes"/>
    <x v="0"/>
  </r>
  <r>
    <x v="656"/>
    <s v="cust-0085"/>
    <s v="Bima Lestari"/>
    <d v="2026-01-23T00:00:00"/>
    <x v="1"/>
    <s v="Medan"/>
    <x v="1"/>
    <s v="Corporate"/>
    <x v="3"/>
    <x v="1"/>
    <n v="5"/>
    <x v="648"/>
    <n v="35000"/>
    <s v="Delivered"/>
    <s v="Satisfied"/>
    <s v="Yes"/>
    <x v="0"/>
  </r>
  <r>
    <x v="657"/>
    <s v="CUST-0217"/>
    <s v="Dimas Santoso"/>
    <d v="2026-03-29T00:00:00"/>
    <x v="4"/>
    <s v="Surabaya"/>
    <x v="4"/>
    <s v="Corporate"/>
    <x v="4"/>
    <x v="0"/>
    <n v="3"/>
    <x v="649"/>
    <n v="0"/>
    <s v="Delivered"/>
    <s v="Satisfied"/>
    <s v="No"/>
    <x v="1"/>
  </r>
  <r>
    <x v="658"/>
    <s v="CUST-0103"/>
    <s v="Alya Pratama"/>
    <d v="2026-02-21T00:00:00"/>
    <x v="2"/>
    <s v="Jakarta"/>
    <x v="3"/>
    <s v="Vip"/>
    <x v="4"/>
    <x v="4"/>
    <n v="6"/>
    <x v="650"/>
    <n v="25000"/>
    <s v="Delivered"/>
    <s v="Very Satisfied"/>
    <s v="Yes"/>
    <x v="0"/>
  </r>
  <r>
    <x v="659"/>
    <s v="CUST-0143"/>
    <s v="Sari Wijaya"/>
    <d v="1970-01-01T00:00:00"/>
    <x v="1"/>
    <s v="Jakarta"/>
    <x v="3"/>
    <s v="New Customer"/>
    <x v="0"/>
    <x v="1"/>
    <n v="2"/>
    <x v="651"/>
    <n v="0"/>
    <s v="Delivered"/>
    <s v="Dissatisfied"/>
    <s v="No"/>
    <x v="5"/>
  </r>
  <r>
    <x v="660"/>
    <s v="CUST-0008"/>
    <s v="Nadia Pratama"/>
    <d v="2026-05-26T00:00:00"/>
    <x v="5"/>
    <s v="Makassar"/>
    <x v="2"/>
    <s v="Corporate"/>
    <x v="5"/>
    <x v="4"/>
    <n v="7"/>
    <x v="652"/>
    <n v="25000"/>
    <s v="Delivered"/>
    <s v="Very Satisfied"/>
    <s v="Yes"/>
    <x v="0"/>
  </r>
  <r>
    <x v="661"/>
    <s v="CUST-0089"/>
    <s v="Raka Saputra"/>
    <d v="2026-01-25T00:00:00"/>
    <x v="1"/>
    <s v="Bandung"/>
    <x v="0"/>
    <s v="Returning Customer"/>
    <x v="2"/>
    <x v="2"/>
    <n v="3"/>
    <x v="653"/>
    <n v="50000"/>
    <s v="Delivered"/>
    <s v="Neutral"/>
    <s v="Yes"/>
    <x v="0"/>
  </r>
  <r>
    <x v="662"/>
    <s v="CUST-0240"/>
    <s v="Citra Pratama"/>
    <d v="2026-05-18T00:00:00"/>
    <x v="5"/>
    <s v="Makassar"/>
    <x v="2"/>
    <s v="Returning Customer"/>
    <x v="4"/>
    <x v="1"/>
    <n v="3"/>
    <x v="59"/>
    <n v="25000"/>
    <s v="Delivered"/>
    <s v=" satisfied "/>
    <s v="Yes"/>
    <x v="3"/>
  </r>
  <r>
    <x v="663"/>
    <s v="CUST-0155"/>
    <s v="Citra Putri"/>
    <d v="2026-02-09T00:00:00"/>
    <x v="2"/>
    <s v="Medan"/>
    <x v="1"/>
    <s v="New Customer"/>
    <x v="3"/>
    <x v="4"/>
    <n v="6"/>
    <x v="654"/>
    <n v="35000"/>
    <s v="Delivered"/>
    <s v="Satisfied"/>
    <s v="Yes"/>
    <x v="0"/>
  </r>
  <r>
    <x v="664"/>
    <s v="CUST-0087"/>
    <s v="Sari Wijaya"/>
    <d v="2026-03-05T00:00:00"/>
    <x v="4"/>
    <s v="Jakarta"/>
    <x v="3"/>
    <s v="Vip"/>
    <x v="4"/>
    <x v="1"/>
    <n v="2"/>
    <x v="655"/>
    <n v="15000"/>
    <s v="Returned"/>
    <s v="Dissatisfied"/>
    <s v="Yes"/>
    <x v="0"/>
  </r>
  <r>
    <x v="665"/>
    <s v="CUST-0218"/>
    <s v="Citra Permata"/>
    <d v="2026-05-14T00:00:00"/>
    <x v="5"/>
    <s v="Makassar"/>
    <x v="2"/>
    <s v="Corporate"/>
    <x v="1"/>
    <x v="0"/>
    <n v="5"/>
    <x v="656"/>
    <n v="25000"/>
    <s v="Delivered"/>
    <s v="Satisfied"/>
    <s v="No"/>
    <x v="0"/>
  </r>
  <r>
    <x v="666"/>
    <s v="CUST-0083"/>
    <s v="Fajar Saputra"/>
    <d v="2026-02-04T00:00:00"/>
    <x v="2"/>
    <s v="Medan"/>
    <x v="1"/>
    <s v="Corporate"/>
    <x v="4"/>
    <x v="1"/>
    <n v="3"/>
    <x v="657"/>
    <n v="15000"/>
    <s v="Cancelled"/>
    <s v="Satisfied"/>
    <s v="Yes"/>
    <x v="4"/>
  </r>
  <r>
    <x v="667"/>
    <s v="CUST-0126"/>
    <s v="Fajar Wijaya"/>
    <d v="2026-01-27T00:00:00"/>
    <x v="1"/>
    <s v="Surabaya"/>
    <x v="4"/>
    <s v="New Customer"/>
    <x v="1"/>
    <x v="2"/>
    <n v="4"/>
    <x v="658"/>
    <n v="50000"/>
    <s v=" delivered "/>
    <s v="Very Satisfied"/>
    <s v="Yes"/>
    <x v="0"/>
  </r>
  <r>
    <x v="668"/>
    <s v="CUST-0023"/>
    <s v="Maya Permata"/>
    <d v="2026-03-20T00:00:00"/>
    <x v="4"/>
    <s v="Jakarta"/>
    <x v="3"/>
    <s v="New Customer"/>
    <x v="0"/>
    <x v="1"/>
    <n v="6"/>
    <x v="659"/>
    <n v="15000"/>
    <s v="Delivered"/>
    <s v="Very Satisfied"/>
    <s v="Yes"/>
    <x v="0"/>
  </r>
  <r>
    <x v="669"/>
    <s v="CUST-0091"/>
    <s v="Rizky Pratama"/>
    <d v="2026-05-18T00:00:00"/>
    <x v="5"/>
    <s v="Makassar"/>
    <x v="2"/>
    <s v="Vip"/>
    <x v="3"/>
    <x v="2"/>
    <n v="6"/>
    <x v="660"/>
    <n v="35000"/>
    <s v="Delivered"/>
    <s v="Neutral"/>
    <s v="Yes"/>
    <x v="0"/>
  </r>
  <r>
    <x v="670"/>
    <s v="CUST-0026"/>
    <s v="Nadia Putri"/>
    <d v="2026-04-28T00:00:00"/>
    <x v="3"/>
    <s v="Medan"/>
    <x v="1"/>
    <s v="Returning Customer"/>
    <x v="1"/>
    <x v="4"/>
    <n v="6"/>
    <x v="661"/>
    <n v="15000"/>
    <s v="Delivered"/>
    <s v="Satisfied"/>
    <s v="Yes"/>
    <x v="0"/>
  </r>
  <r>
    <x v="671"/>
    <s v="CUST-0012"/>
    <s v="Sari Saputra"/>
    <d v="2026-04-08T00:00:00"/>
    <x v="3"/>
    <s v="Surabaya"/>
    <x v="4"/>
    <s v="Returning Customer"/>
    <x v="2"/>
    <x v="0"/>
    <n v="3"/>
    <x v="662"/>
    <n v="0"/>
    <s v="Delivered"/>
    <s v="Very Satisfied"/>
    <s v="No"/>
    <x v="1"/>
  </r>
  <r>
    <x v="672"/>
    <s v="CUST-0235"/>
    <s v="Dimas Saputra"/>
    <d v="2026-04-13T00:00:00"/>
    <x v="3"/>
    <s v="Surabaya"/>
    <x v="4"/>
    <s v="Corporate"/>
    <x v="3"/>
    <x v="4"/>
    <n v="2"/>
    <x v="663"/>
    <n v="15000"/>
    <s v="Delivered"/>
    <s v="Satisfied"/>
    <s v="No"/>
    <x v="0"/>
  </r>
  <r>
    <x v="673"/>
    <s v="CUST-0053"/>
    <s v="Raka Putri"/>
    <d v="2026-06-17T00:00:00"/>
    <x v="0"/>
    <s v="Medan"/>
    <x v="1"/>
    <s v="Vip"/>
    <x v="5"/>
    <x v="1"/>
    <n v="6"/>
    <x v="664"/>
    <n v="35000"/>
    <s v="Delivered"/>
    <s v="Neutral"/>
    <s v="No"/>
    <x v="0"/>
  </r>
  <r>
    <x v="674"/>
    <s v="CUST-0154"/>
    <s v="Fajar Pratama"/>
    <d v="2026-01-03T00:00:00"/>
    <x v="1"/>
    <s v="Bandung"/>
    <x v="0"/>
    <s v="New Customer"/>
    <x v="3"/>
    <x v="2"/>
    <n v="6"/>
    <x v="665"/>
    <n v="0"/>
    <s v="Delivered"/>
    <s v="Very Satisfied"/>
    <s v="Yes"/>
    <x v="1"/>
  </r>
  <r>
    <x v="675"/>
    <s v="CUST-0041"/>
    <s v="Sari Putri"/>
    <d v="2026-05-06T00:00:00"/>
    <x v="5"/>
    <s v="Surabaya"/>
    <x v="4"/>
    <s v="Corporate"/>
    <x v="0"/>
    <x v="4"/>
    <n v="5"/>
    <x v="666"/>
    <n v="15000"/>
    <s v="Delivered"/>
    <s v="Dissatisfied"/>
    <s v="No"/>
    <x v="0"/>
  </r>
  <r>
    <x v="676"/>
    <s v="CUST-0073"/>
    <s v="Alya Wijaya"/>
    <d v="2026-05-26T00:00:00"/>
    <x v="5"/>
    <s v="Bandung"/>
    <x v="0"/>
    <s v="New Customer"/>
    <x v="1"/>
    <x v="1"/>
    <n v="7"/>
    <x v="667"/>
    <n v="0"/>
    <s v="Delivered"/>
    <s v="Neutral"/>
    <s v="Yes"/>
    <x v="1"/>
  </r>
  <r>
    <x v="677"/>
    <s v="CUST-0033"/>
    <s v="Rizky Permata"/>
    <d v="2026-05-13T00:00:00"/>
    <x v="5"/>
    <s v="Medan"/>
    <x v="1"/>
    <s v="Returning Customer"/>
    <x v="4"/>
    <x v="2"/>
    <n v="4"/>
    <x v="668"/>
    <n v="35000"/>
    <s v="Delivered"/>
    <s v="Very Satisfied"/>
    <s v="Yes"/>
    <x v="0"/>
  </r>
  <r>
    <x v="678"/>
    <s v="CUST-0112"/>
    <s v="Nadia Lestari"/>
    <d v="2026-06-07T00:00:00"/>
    <x v="0"/>
    <s v="Jakarta"/>
    <x v="3"/>
    <s v="Returning Customer"/>
    <x v="5"/>
    <x v="3"/>
    <m/>
    <x v="669"/>
    <n v="35000"/>
    <s v="Delivered"/>
    <s v="Satisfied"/>
    <s v="Yes"/>
    <x v="7"/>
  </r>
  <r>
    <x v="679"/>
    <s v="CUST-0146"/>
    <s v="Maya Lestari"/>
    <d v="2026-01-04T00:00:00"/>
    <x v="1"/>
    <s v="Bandung"/>
    <x v="0"/>
    <s v="New Customer"/>
    <x v="2"/>
    <x v="1"/>
    <n v="7"/>
    <x v="670"/>
    <n v="25000"/>
    <s v="Returned"/>
    <s v="Neutral"/>
    <s v="Yes"/>
    <x v="0"/>
  </r>
  <r>
    <x v="680"/>
    <s v="CUST-0075"/>
    <s v="Citra Permata"/>
    <d v="2026-05-10T00:00:00"/>
    <x v="5"/>
    <s v="Medan"/>
    <x v="1"/>
    <s v="New Customer"/>
    <x v="2"/>
    <x v="2"/>
    <n v="2"/>
    <x v="671"/>
    <n v="15000"/>
    <s v="Delivered"/>
    <s v="Very Satisfied"/>
    <s v="Yes"/>
    <x v="0"/>
  </r>
  <r>
    <x v="681"/>
    <s v="CUST-0155"/>
    <s v="Citra Putri"/>
    <d v="2026-05-16T00:00:00"/>
    <x v="5"/>
    <s v="Jakarta"/>
    <x v="3"/>
    <s v="New Customer"/>
    <x v="3"/>
    <x v="2"/>
    <n v="2"/>
    <x v="672"/>
    <n v="50000"/>
    <s v="Delivered"/>
    <s v="Dissatisfied"/>
    <s v="No"/>
    <x v="0"/>
  </r>
  <r>
    <x v="682"/>
    <s v="CUST-0133"/>
    <s v="Nadia Wijaya"/>
    <d v="2026-05-17T00:00:00"/>
    <x v="5"/>
    <s v="Surabaya"/>
    <x v="4"/>
    <s v="New Customer"/>
    <x v="5"/>
    <x v="2"/>
    <n v="6"/>
    <x v="673"/>
    <n v="50000"/>
    <s v="Delivered"/>
    <s v="Dissatisfied"/>
    <s v="Yes"/>
    <x v="0"/>
  </r>
  <r>
    <x v="683"/>
    <s v="CUST-0002"/>
    <s v="Alya Lestari"/>
    <d v="2026-04-08T00:00:00"/>
    <x v="3"/>
    <s v="Bandung"/>
    <x v="0"/>
    <s v="New Customer"/>
    <x v="1"/>
    <x v="4"/>
    <n v="1"/>
    <x v="674"/>
    <n v="50000"/>
    <s v="Delayed"/>
    <s v="Satisfied"/>
    <s v="Yes"/>
    <x v="0"/>
  </r>
  <r>
    <x v="684"/>
    <s v="CUST-0006"/>
    <s v="Sari Saputra"/>
    <d v="2026-06-16T00:00:00"/>
    <x v="0"/>
    <s v="Medan"/>
    <x v="1"/>
    <s v="Corporate"/>
    <x v="3"/>
    <x v="0"/>
    <n v="6"/>
    <x v="675"/>
    <n v="50000"/>
    <s v="Delivered"/>
    <s v="Satisfied"/>
    <s v="No"/>
    <x v="0"/>
  </r>
  <r>
    <x v="685"/>
    <s v="CUST-0157"/>
    <s v="Rizky Pratama"/>
    <d v="2026-03-06T00:00:00"/>
    <x v="4"/>
    <s v="Makassar"/>
    <x v="2"/>
    <s v="Vip"/>
    <x v="5"/>
    <x v="0"/>
    <n v="4"/>
    <x v="676"/>
    <n v="35000"/>
    <s v="Cancelled"/>
    <s v="Very Satisfied"/>
    <s v="No"/>
    <x v="4"/>
  </r>
  <r>
    <x v="686"/>
    <s v="CUST-0164"/>
    <s v="Nadia Santoso"/>
    <d v="2026-02-14T00:00:00"/>
    <x v="2"/>
    <s v="Surabaya"/>
    <x v="4"/>
    <s v="Returning Customer"/>
    <x v="4"/>
    <x v="1"/>
    <n v="2"/>
    <x v="677"/>
    <n v="25000"/>
    <s v="Delivered"/>
    <s v="Very Satisfied"/>
    <s v="No"/>
    <x v="0"/>
  </r>
  <r>
    <x v="687"/>
    <s v="CUST-0182"/>
    <s v="Nadia Lestari"/>
    <d v="2026-05-19T00:00:00"/>
    <x v="5"/>
    <s v="Medan"/>
    <x v="1"/>
    <s v="Corporate"/>
    <x v="2"/>
    <x v="1"/>
    <n v="2"/>
    <x v="678"/>
    <n v="35000"/>
    <s v="Delayed"/>
    <s v="Dissatisfied"/>
    <s v="No"/>
    <x v="0"/>
  </r>
  <r>
    <x v="688"/>
    <s v="CUST-0100"/>
    <s v="Raka Pratama"/>
    <d v="2026-04-29T00:00:00"/>
    <x v="3"/>
    <s v="Makassar"/>
    <x v="2"/>
    <s v="Returning Customer"/>
    <x v="5"/>
    <x v="0"/>
    <n v="3"/>
    <x v="679"/>
    <n v="25000"/>
    <s v="Delivered"/>
    <s v="Very Satisfied"/>
    <s v="Yes"/>
    <x v="0"/>
  </r>
  <r>
    <x v="689"/>
    <s v="CUST-0146"/>
    <s v="Maya Lestari"/>
    <d v="2026-02-19T00:00:00"/>
    <x v="2"/>
    <s v="Surabaya"/>
    <x v="4"/>
    <s v="Returning Customer"/>
    <x v="2"/>
    <x v="0"/>
    <n v="5"/>
    <x v="680"/>
    <n v="35000"/>
    <s v="Delayed"/>
    <s v="Neutral"/>
    <s v="No"/>
    <x v="0"/>
  </r>
  <r>
    <x v="690"/>
    <s v="CUST-0028"/>
    <s v="Dimas Wijaya"/>
    <d v="2026-05-19T00:00:00"/>
    <x v="5"/>
    <s v="Bandung"/>
    <x v="0"/>
    <s v="Returning Customer"/>
    <x v="0"/>
    <x v="4"/>
    <n v="7"/>
    <x v="681"/>
    <n v="25000"/>
    <s v="Returned"/>
    <s v="Neutral"/>
    <s v="Yes"/>
    <x v="0"/>
  </r>
  <r>
    <x v="691"/>
    <s v="CUST-0169"/>
    <s v="Citra Permata"/>
    <d v="2026-04-09T00:00:00"/>
    <x v="3"/>
    <s v="Bandung"/>
    <x v="0"/>
    <s v="Corporate"/>
    <x v="1"/>
    <x v="0"/>
    <n v="2"/>
    <x v="682"/>
    <n v="35000"/>
    <s v="Cancelled"/>
    <s v="Very Satisfied"/>
    <s v="No"/>
    <x v="4"/>
  </r>
  <r>
    <x v="692"/>
    <s v="CUST-0191"/>
    <s v="Fajar Pratama"/>
    <d v="2026-06-24T00:00:00"/>
    <x v="0"/>
    <s v="Bandung"/>
    <x v="0"/>
    <s v="Returning Customer"/>
    <x v="2"/>
    <x v="3"/>
    <n v="6"/>
    <x v="683"/>
    <n v="15000"/>
    <s v="Delivered"/>
    <s v="Neutral"/>
    <s v="No"/>
    <x v="0"/>
  </r>
  <r>
    <x v="693"/>
    <s v="CUST-0063"/>
    <s v="Fajar Lestari"/>
    <d v="2026-02-03T00:00:00"/>
    <x v="2"/>
    <s v="Jakarta"/>
    <x v="3"/>
    <s v="New Customer"/>
    <x v="4"/>
    <x v="2"/>
    <n v="5"/>
    <x v="684"/>
    <n v="25000"/>
    <s v="Cancelled"/>
    <s v="Satisfied"/>
    <s v="Yes"/>
    <x v="4"/>
  </r>
  <r>
    <x v="694"/>
    <s v="CUST-0003"/>
    <s v="Bima Wijaya"/>
    <d v="2026-01-14T00:00:00"/>
    <x v="1"/>
    <s v="Bandung"/>
    <x v="0"/>
    <s v="Returning Customer"/>
    <x v="0"/>
    <x v="2"/>
    <n v="3"/>
    <x v="685"/>
    <n v="0"/>
    <s v="Cancelled"/>
    <s v="Satisfied"/>
    <s v="No"/>
    <x v="6"/>
  </r>
  <r>
    <x v="695"/>
    <s v="CUST-0160"/>
    <s v="Fajar Permata"/>
    <d v="2026-03-22T00:00:00"/>
    <x v="4"/>
    <s v="Jakarta"/>
    <x v="3"/>
    <s v="Returning Customer"/>
    <x v="5"/>
    <x v="0"/>
    <n v="3"/>
    <x v="686"/>
    <n v="35000"/>
    <s v="Delivered"/>
    <s v="Very Satisfied"/>
    <s v="No"/>
    <x v="0"/>
  </r>
  <r>
    <x v="696"/>
    <s v="CUST-0031"/>
    <s v="Rizky Permata"/>
    <d v="2026-05-17T00:00:00"/>
    <x v="5"/>
    <s v="Surabaya"/>
    <x v="4"/>
    <s v="Returning Customer"/>
    <x v="4"/>
    <x v="0"/>
    <n v="5"/>
    <x v="687"/>
    <n v="15000"/>
    <s v="Delivered"/>
    <s v="Satisfied"/>
    <s v="No"/>
    <x v="0"/>
  </r>
  <r>
    <x v="697"/>
    <s v="CUST-0025"/>
    <s v="Dimas Dewi"/>
    <d v="2026-01-11T00:00:00"/>
    <x v="1"/>
    <s v="Jakarta"/>
    <x v="3"/>
    <s v="Vip"/>
    <x v="2"/>
    <x v="4"/>
    <n v="4"/>
    <x v="688"/>
    <n v="35000"/>
    <s v="Delivered"/>
    <s v="Very Satisfied"/>
    <s v="Yes"/>
    <x v="0"/>
  </r>
  <r>
    <x v="698"/>
    <s v="CUST-0115"/>
    <s v="Alya Saputra"/>
    <d v="2026-01-06T00:00:00"/>
    <x v="1"/>
    <s v="Jakarta"/>
    <x v="3"/>
    <s v="Returning Customer"/>
    <x v="5"/>
    <x v="4"/>
    <n v="3"/>
    <x v="689"/>
    <n v="50000"/>
    <s v="Delayed"/>
    <s v="Dissatisfied"/>
    <s v="No"/>
    <x v="0"/>
  </r>
  <r>
    <x v="699"/>
    <s v="CUST-0174"/>
    <s v="Alya Wijaya"/>
    <d v="2026-04-11T00:00:00"/>
    <x v="3"/>
    <s v="Surabaya"/>
    <x v="4"/>
    <s v="New Customer"/>
    <x v="0"/>
    <x v="4"/>
    <n v="7"/>
    <x v="690"/>
    <n v="0"/>
    <s v="Returned"/>
    <s v="Neutral"/>
    <s v="No"/>
    <x v="1"/>
  </r>
  <r>
    <x v="700"/>
    <s v="CUST-0005"/>
    <s v="Nadia Saputra"/>
    <d v="2026-06-09T00:00:00"/>
    <x v="0"/>
    <s v="Makassar"/>
    <x v="2"/>
    <s v="New Customer"/>
    <x v="2"/>
    <x v="3"/>
    <n v="3"/>
    <x v="691"/>
    <n v="15000"/>
    <s v="Delayed"/>
    <s v="Satisfied"/>
    <s v="Yes"/>
    <x v="0"/>
  </r>
  <r>
    <x v="701"/>
    <s v="CUST-0014"/>
    <s v="Citra Dewi"/>
    <d v="2026-06-16T00:00:00"/>
    <x v="0"/>
    <s v="Jakarta"/>
    <x v="3"/>
    <s v="Vip"/>
    <x v="3"/>
    <x v="1"/>
    <n v="3"/>
    <x v="692"/>
    <n v="25000"/>
    <s v="Delivered"/>
    <s v="Satisfied"/>
    <s v="Yes"/>
    <x v="0"/>
  </r>
  <r>
    <x v="702"/>
    <s v="CUST-0086"/>
    <s v="Nadia Wijaya"/>
    <d v="2026-05-22T00:00:00"/>
    <x v="5"/>
    <s v="Jakarta"/>
    <x v="3"/>
    <s v="Vip"/>
    <x v="2"/>
    <x v="0"/>
    <n v="7"/>
    <x v="693"/>
    <n v="15000"/>
    <s v="Returned"/>
    <s v="Dissatisfied"/>
    <s v="No"/>
    <x v="0"/>
  </r>
  <r>
    <x v="703"/>
    <s v="CUST-0098"/>
    <s v="Fajar Lestari"/>
    <d v="2026-10-04T00:00:00"/>
    <x v="6"/>
    <s v="Makassar"/>
    <x v="2"/>
    <s v="Corporate"/>
    <x v="2"/>
    <x v="3"/>
    <n v="6"/>
    <x v="694"/>
    <n v="25000"/>
    <s v="Delivered"/>
    <m/>
    <s v="Yes"/>
    <x v="6"/>
  </r>
  <r>
    <x v="704"/>
    <s v="CUST-0089"/>
    <s v="Raka Saputra"/>
    <d v="2026-03-08T00:00:00"/>
    <x v="4"/>
    <s v="Medan"/>
    <x v="1"/>
    <s v="New Customer"/>
    <x v="3"/>
    <x v="3"/>
    <n v="4"/>
    <x v="695"/>
    <n v="15000"/>
    <s v="Delivered"/>
    <s v="Very Satisfied"/>
    <s v="Yes"/>
    <x v="0"/>
  </r>
  <r>
    <x v="705"/>
    <s v="CUST-0006"/>
    <s v="Sari Saputra"/>
    <d v="2026-02-02T00:00:00"/>
    <x v="2"/>
    <s v="Makassar"/>
    <x v="2"/>
    <s v="Returning Customer"/>
    <x v="4"/>
    <x v="2"/>
    <n v="1"/>
    <x v="696"/>
    <n v="15000"/>
    <s v="Delivered"/>
    <s v=" very satisfied "/>
    <s v="Yes"/>
    <x v="0"/>
  </r>
  <r>
    <x v="706"/>
    <s v="CUST-0186"/>
    <s v="Sari Santoso"/>
    <d v="2026-01-04T00:00:00"/>
    <x v="1"/>
    <s v="Medan"/>
    <x v="1"/>
    <s v="Vip"/>
    <x v="3"/>
    <x v="2"/>
    <n v="1"/>
    <x v="697"/>
    <n v="50000"/>
    <s v="Delivered"/>
    <s v="Satisfied"/>
    <s v="Yes"/>
    <x v="0"/>
  </r>
  <r>
    <x v="707"/>
    <s v="CUST-0015"/>
    <s v="Alya Santoso"/>
    <d v="2026-06-30T00:00:00"/>
    <x v="0"/>
    <s v="Jakarta"/>
    <x v="3"/>
    <s v="New Customer"/>
    <x v="2"/>
    <x v="0"/>
    <n v="6"/>
    <x v="698"/>
    <n v="15000"/>
    <s v="Cancelled"/>
    <s v="Very Satisfied"/>
    <s v="Yes"/>
    <x v="4"/>
  </r>
  <r>
    <x v="708"/>
    <s v="CUST-0013"/>
    <s v="Citra Wijaya"/>
    <d v="2026-01-21T00:00:00"/>
    <x v="1"/>
    <s v="Bandung"/>
    <x v="0"/>
    <s v="Corporate"/>
    <x v="1"/>
    <x v="0"/>
    <n v="6"/>
    <x v="699"/>
    <n v="25000"/>
    <s v="Delivered"/>
    <s v="Satisfied"/>
    <s v="No"/>
    <x v="0"/>
  </r>
  <r>
    <x v="709"/>
    <s v="CUST-0074"/>
    <s v="Bima Putri"/>
    <d v="2026-06-23T00:00:00"/>
    <x v="0"/>
    <s v="Bandung"/>
    <x v="0"/>
    <s v="Vip"/>
    <x v="5"/>
    <x v="4"/>
    <n v="2"/>
    <x v="700"/>
    <n v="35000"/>
    <s v="Delivered"/>
    <s v="Very Satisfied"/>
    <s v="Yes"/>
    <x v="12"/>
  </r>
  <r>
    <x v="710"/>
    <s v="CUST-0180"/>
    <s v="Bima Pratama"/>
    <d v="2026-02-01T00:00:00"/>
    <x v="2"/>
    <s v="Medan"/>
    <x v="1"/>
    <s v="Vip"/>
    <x v="1"/>
    <x v="1"/>
    <n v="2"/>
    <x v="701"/>
    <n v="15000"/>
    <s v=" delayed "/>
    <s v="Satisfied"/>
    <s v="No"/>
    <x v="0"/>
  </r>
  <r>
    <x v="711"/>
    <s v="CUST-0056"/>
    <s v="Maya Santoso"/>
    <d v="2026-04-20T00:00:00"/>
    <x v="3"/>
    <s v="Surabaya"/>
    <x v="4"/>
    <s v="Vip"/>
    <x v="5"/>
    <x v="2"/>
    <n v="6"/>
    <x v="702"/>
    <n v="25000"/>
    <s v="Delivered"/>
    <s v="Very Satisfied"/>
    <s v="Yes"/>
    <x v="0"/>
  </r>
  <r>
    <x v="712"/>
    <s v="CUST-0017"/>
    <s v="Fajar Saputra"/>
    <d v="2026-05-07T00:00:00"/>
    <x v="5"/>
    <s v="Medan"/>
    <x v="1"/>
    <s v="New Customer"/>
    <x v="3"/>
    <x v="2"/>
    <n v="5"/>
    <x v="703"/>
    <n v="0"/>
    <s v="Delivered"/>
    <s v="Satisfied"/>
    <s v="No"/>
    <x v="1"/>
  </r>
  <r>
    <x v="713"/>
    <s v="CUST-0151"/>
    <s v="Raka Saputra"/>
    <d v="2026-04-03T00:00:00"/>
    <x v="3"/>
    <s v="Surabaya"/>
    <x v="4"/>
    <s v="Corporate"/>
    <x v="0"/>
    <x v="1"/>
    <n v="3"/>
    <x v="704"/>
    <n v="50000"/>
    <s v="Delivered"/>
    <s v="Very Satisfied"/>
    <s v="No"/>
    <x v="0"/>
  </r>
  <r>
    <x v="714"/>
    <s v="CUST-0196"/>
    <s v="Fajar Santoso"/>
    <d v="2026-05-06T00:00:00"/>
    <x v="5"/>
    <s v="Jakarta"/>
    <x v="3"/>
    <s v="Vip"/>
    <x v="2"/>
    <x v="1"/>
    <n v="6"/>
    <x v="705"/>
    <n v="50000"/>
    <s v="Delivered"/>
    <s v="Satisfied"/>
    <s v="No"/>
    <x v="0"/>
  </r>
  <r>
    <x v="715"/>
    <s v="CUST-0084"/>
    <s v="Sari Putri"/>
    <d v="2026-04-14T00:00:00"/>
    <x v="3"/>
    <s v="Medan"/>
    <x v="1"/>
    <s v="Corporate"/>
    <x v="4"/>
    <x v="0"/>
    <n v="4"/>
    <x v="706"/>
    <n v="35000"/>
    <s v="Delivered"/>
    <s v="Satisfied"/>
    <s v="No"/>
    <x v="0"/>
  </r>
  <r>
    <x v="716"/>
    <s v="CUST-0098"/>
    <s v="Fajar Lestari"/>
    <d v="2026-06-11T00:00:00"/>
    <x v="0"/>
    <s v="Bandung"/>
    <x v="0"/>
    <s v="Returning Customer"/>
    <x v="1"/>
    <x v="0"/>
    <n v="3"/>
    <x v="707"/>
    <n v="35000"/>
    <s v="Delivered"/>
    <s v="Neutral"/>
    <s v="Yes"/>
    <x v="0"/>
  </r>
  <r>
    <x v="717"/>
    <s v="CUST-0025"/>
    <s v="Dimas Dewi"/>
    <d v="2026-01-05T00:00:00"/>
    <x v="1"/>
    <s v="Medan"/>
    <x v="1"/>
    <s v="Corporate"/>
    <x v="5"/>
    <x v="3"/>
    <n v="2"/>
    <x v="708"/>
    <n v="35000"/>
    <s v="Delivered"/>
    <s v="Very Satisfied"/>
    <s v="No"/>
    <x v="0"/>
  </r>
  <r>
    <x v="718"/>
    <s v="CUST-0059"/>
    <s v="Raka Wijaya"/>
    <d v="2026-02-18T00:00:00"/>
    <x v="2"/>
    <s v="Bandung"/>
    <x v="0"/>
    <s v="Corporate"/>
    <x v="3"/>
    <x v="2"/>
    <n v="6"/>
    <x v="709"/>
    <n v="50000"/>
    <s v="Delivered"/>
    <s v="Satisfied"/>
    <s v="No"/>
    <x v="0"/>
  </r>
  <r>
    <x v="719"/>
    <s v="CUST-0028"/>
    <s v="Dimas Wijaya"/>
    <d v="2026-01-18T00:00:00"/>
    <x v="1"/>
    <s v="Medan"/>
    <x v="1"/>
    <s v="Returning Customer"/>
    <x v="2"/>
    <x v="1"/>
    <n v="5"/>
    <x v="710"/>
    <n v="35000"/>
    <s v="Delivered"/>
    <s v="Very Satisfied"/>
    <s v="Yes"/>
    <x v="0"/>
  </r>
  <r>
    <x v="720"/>
    <s v="CUST-0079"/>
    <s v="Nadia Saputra"/>
    <d v="2026-06-11T00:00:00"/>
    <x v="0"/>
    <s v="Makassar"/>
    <x v="2"/>
    <s v="New Customer"/>
    <x v="1"/>
    <x v="0"/>
    <n v="6"/>
    <x v="711"/>
    <n v="25000"/>
    <s v="Delivered"/>
    <s v="Satisfied"/>
    <s v="No"/>
    <x v="0"/>
  </r>
  <r>
    <x v="721"/>
    <s v="CUST-0088"/>
    <s v="Raka Santoso"/>
    <d v="2026-04-06T00:00:00"/>
    <x v="3"/>
    <s v="Medan"/>
    <x v="1"/>
    <s v="Returning Customer"/>
    <x v="5"/>
    <x v="3"/>
    <n v="5"/>
    <x v="712"/>
    <n v="25000"/>
    <s v="Returned"/>
    <s v="Neutral"/>
    <s v="Yes"/>
    <x v="0"/>
  </r>
  <r>
    <x v="722"/>
    <s v="CUST-0233"/>
    <s v="Bima Lestari"/>
    <d v="2026-03-22T00:00:00"/>
    <x v="4"/>
    <s v="Bandung"/>
    <x v="0"/>
    <s v="Returning Customer"/>
    <x v="0"/>
    <x v="4"/>
    <n v="5"/>
    <x v="713"/>
    <n v="25000"/>
    <s v="Delivered"/>
    <s v="Neutral"/>
    <s v="Yes"/>
    <x v="0"/>
  </r>
  <r>
    <x v="723"/>
    <s v="CUST-0182"/>
    <s v="Nadia Lestari"/>
    <d v="2026-06-01T00:00:00"/>
    <x v="0"/>
    <s v="Surabaya"/>
    <x v="4"/>
    <s v="New Customer"/>
    <x v="2"/>
    <x v="0"/>
    <n v="4"/>
    <x v="714"/>
    <n v="15000"/>
    <s v="Delivered"/>
    <s v="Neutral"/>
    <s v="No"/>
    <x v="0"/>
  </r>
  <r>
    <x v="724"/>
    <s v="CUST-0021"/>
    <s v="Rizky Dewi"/>
    <d v="2026-05-16T00:00:00"/>
    <x v="5"/>
    <s v="Surabaya"/>
    <x v="4"/>
    <s v="New Customer"/>
    <x v="2"/>
    <x v="1"/>
    <n v="5"/>
    <x v="715"/>
    <n v="35000"/>
    <s v="Cancelled"/>
    <s v="Dissatisfied"/>
    <s v="Yes"/>
    <x v="0"/>
  </r>
  <r>
    <x v="725"/>
    <s v="CUST-0203"/>
    <s v="Maya Permata"/>
    <d v="2026-03-12T00:00:00"/>
    <x v="4"/>
    <s v="Bandung"/>
    <x v="0"/>
    <s v="New Customer"/>
    <x v="0"/>
    <x v="3"/>
    <n v="7"/>
    <x v="716"/>
    <n v="25000"/>
    <s v="Delivered"/>
    <s v="Satisfied"/>
    <s v="No"/>
    <x v="0"/>
  </r>
  <r>
    <x v="726"/>
    <s v="CUST-0144"/>
    <s v="Nadia Putri"/>
    <d v="2026-02-07T00:00:00"/>
    <x v="2"/>
    <s v="Bandung"/>
    <x v="0"/>
    <s v="New Customer"/>
    <x v="0"/>
    <x v="2"/>
    <n v="4"/>
    <x v="717"/>
    <n v="25000"/>
    <s v="Returned"/>
    <s v="Neutral"/>
    <s v="Yes"/>
    <x v="0"/>
  </r>
  <r>
    <x v="727"/>
    <s v="CUST-0135"/>
    <s v="Nadia Putri"/>
    <d v="2026-05-10T00:00:00"/>
    <x v="5"/>
    <s v="Jakarta"/>
    <x v="3"/>
    <s v="Vip"/>
    <x v="0"/>
    <x v="0"/>
    <n v="7"/>
    <x v="718"/>
    <n v="15000"/>
    <s v="Delivered"/>
    <s v="Satisfied"/>
    <s v="Yes"/>
    <x v="0"/>
  </r>
  <r>
    <x v="728"/>
    <s v="CUST-0076"/>
    <s v="Nadia Permata"/>
    <d v="2026-01-07T00:00:00"/>
    <x v="1"/>
    <s v="Bandung"/>
    <x v="0"/>
    <s v="Corporate"/>
    <x v="3"/>
    <x v="1"/>
    <n v="1"/>
    <x v="719"/>
    <n v="35000"/>
    <s v="Delivered"/>
    <s v="Neutral"/>
    <s v="Yes"/>
    <x v="0"/>
  </r>
  <r>
    <x v="729"/>
    <s v="cust-0153"/>
    <s v="Fajar Santoso"/>
    <d v="2026-04-24T00:00:00"/>
    <x v="3"/>
    <s v="Makassar"/>
    <x v="2"/>
    <s v="Corporate"/>
    <x v="0"/>
    <x v="0"/>
    <n v="3"/>
    <x v="59"/>
    <n v="0"/>
    <s v="Delivered"/>
    <s v="Very Satisfied"/>
    <s v="Yes"/>
    <x v="14"/>
  </r>
  <r>
    <x v="730"/>
    <s v="CUST-0083"/>
    <s v="Fajar Saputra"/>
    <d v="2026-01-05T00:00:00"/>
    <x v="1"/>
    <s v="Bandung"/>
    <x v="0"/>
    <s v="Vip"/>
    <x v="3"/>
    <x v="1"/>
    <n v="7"/>
    <x v="720"/>
    <n v="0"/>
    <s v="Delivered"/>
    <s v="Satisfied"/>
    <s v="Yes"/>
    <x v="1"/>
  </r>
  <r>
    <x v="731"/>
    <s v="CUST-0161"/>
    <s v="Alya Putri"/>
    <d v="2026-04-22T00:00:00"/>
    <x v="3"/>
    <s v="Jakarta"/>
    <x v="3"/>
    <s v="Vip"/>
    <x v="0"/>
    <x v="4"/>
    <n v="2"/>
    <x v="721"/>
    <n v="35000"/>
    <s v="Delivered"/>
    <s v="Neutral"/>
    <s v="Yes"/>
    <x v="0"/>
  </r>
  <r>
    <x v="732"/>
    <s v="CUST-0227"/>
    <s v="Citra Putri"/>
    <d v="2026-05-11T00:00:00"/>
    <x v="5"/>
    <s v="Bandung"/>
    <x v="0"/>
    <s v="New Customer"/>
    <x v="1"/>
    <x v="0"/>
    <n v="4"/>
    <x v="722"/>
    <n v="15000"/>
    <s v="Delivered"/>
    <s v="Very Satisfied"/>
    <s v="Yes"/>
    <x v="0"/>
  </r>
  <r>
    <x v="733"/>
    <s v="CUST-0024"/>
    <s v="Nadia Lestari"/>
    <d v="2026-04-03T00:00:00"/>
    <x v="3"/>
    <s v="Medan"/>
    <x v="1"/>
    <s v="Corporate"/>
    <x v="1"/>
    <x v="2"/>
    <n v="1"/>
    <x v="723"/>
    <n v="25000"/>
    <s v="Delivered"/>
    <s v="Satisfied"/>
    <s v="No"/>
    <x v="0"/>
  </r>
  <r>
    <x v="734"/>
    <s v="CUST-0165"/>
    <s v="Dimas Permata"/>
    <d v="2026-04-12T00:00:00"/>
    <x v="3"/>
    <s v="Bandung"/>
    <x v="0"/>
    <s v="New Customer"/>
    <x v="0"/>
    <x v="0"/>
    <n v="7"/>
    <x v="724"/>
    <n v="50000"/>
    <s v="Delivered"/>
    <s v="Very Satisfied"/>
    <s v="Yes"/>
    <x v="0"/>
  </r>
  <r>
    <x v="735"/>
    <s v="CUST-0015"/>
    <s v="Alya Santoso"/>
    <d v="2026-06-15T00:00:00"/>
    <x v="0"/>
    <s v="Medan"/>
    <x v="1"/>
    <s v="New Customer"/>
    <x v="4"/>
    <x v="0"/>
    <n v="1"/>
    <x v="725"/>
    <n v="0"/>
    <s v="Delivered"/>
    <s v="Satisfied"/>
    <s v="Yes"/>
    <x v="1"/>
  </r>
  <r>
    <x v="736"/>
    <s v="CUST-0040"/>
    <s v="Rizky Putri"/>
    <d v="2026-02-05T00:00:00"/>
    <x v="2"/>
    <s v="Medan"/>
    <x v="1"/>
    <s v="New Customer"/>
    <x v="1"/>
    <x v="3"/>
    <n v="3"/>
    <x v="726"/>
    <n v="25000"/>
    <s v="Delivered"/>
    <s v="Satisfied"/>
    <s v="No"/>
    <x v="0"/>
  </r>
  <r>
    <x v="737"/>
    <s v="CUST-0007"/>
    <s v="Nadia Saputra"/>
    <d v="2026-06-21T00:00:00"/>
    <x v="0"/>
    <s v="Bdg"/>
    <x v="0"/>
    <s v="Returning Customer"/>
    <x v="1"/>
    <x v="1"/>
    <n v="1"/>
    <x v="727"/>
    <n v="50000"/>
    <s v="Delivered"/>
    <s v="Satisfied"/>
    <s v="Yes"/>
    <x v="0"/>
  </r>
  <r>
    <x v="738"/>
    <s v="CUST-0090"/>
    <s v="Fajar Pratama"/>
    <d v="2026-06-29T00:00:00"/>
    <x v="0"/>
    <s v="Medan"/>
    <x v="1"/>
    <s v="Returning Customer"/>
    <x v="5"/>
    <x v="4"/>
    <n v="3"/>
    <x v="728"/>
    <n v="50000"/>
    <s v="Delivered"/>
    <s v="Neutral"/>
    <s v="Yes"/>
    <x v="0"/>
  </r>
  <r>
    <x v="739"/>
    <s v="CUST-0235"/>
    <s v="Dimas Saputra"/>
    <d v="2026-06-10T00:00:00"/>
    <x v="0"/>
    <s v="Bandung"/>
    <x v="0"/>
    <s v="Vip"/>
    <x v="0"/>
    <x v="0"/>
    <n v="5"/>
    <x v="729"/>
    <n v="25000"/>
    <s v="Delivered"/>
    <s v="Satisfied"/>
    <s v="No"/>
    <x v="0"/>
  </r>
  <r>
    <x v="740"/>
    <s v="CUST-0230"/>
    <s v="Fajar Lestari"/>
    <d v="2026-03-08T00:00:00"/>
    <x v="4"/>
    <s v="Makassar"/>
    <x v="2"/>
    <s v="Corporate"/>
    <x v="5"/>
    <x v="0"/>
    <n v="6"/>
    <x v="730"/>
    <n v="0"/>
    <s v="Delivered"/>
    <s v="Very Satisfied"/>
    <s v="Yes"/>
    <x v="1"/>
  </r>
  <r>
    <x v="741"/>
    <s v="CUST-0011"/>
    <s v="Maya Saputra"/>
    <d v="2026-04-10T00:00:00"/>
    <x v="3"/>
    <s v="Surabaya"/>
    <x v="4"/>
    <s v="Returning Customer"/>
    <x v="1"/>
    <x v="3"/>
    <n v="2"/>
    <x v="731"/>
    <n v="15000"/>
    <s v="Delivered"/>
    <s v="Satisfied"/>
    <s v="No"/>
    <x v="0"/>
  </r>
  <r>
    <x v="742"/>
    <s v="CUST-0119"/>
    <s v="Fajar Santoso"/>
    <d v="1970-01-01T00:00:00"/>
    <x v="1"/>
    <s v="Surabaya"/>
    <x v="4"/>
    <s v="New Customer"/>
    <x v="5"/>
    <x v="0"/>
    <n v="7"/>
    <x v="732"/>
    <n v="50000"/>
    <s v="Delivered"/>
    <s v="Satisfied"/>
    <s v="No"/>
    <x v="9"/>
  </r>
  <r>
    <x v="743"/>
    <s v="CUST-0053"/>
    <s v="Raka Putri"/>
    <d v="2026-05-08T00:00:00"/>
    <x v="5"/>
    <s v="Medan"/>
    <x v="1"/>
    <s v="Corporate"/>
    <x v="1"/>
    <x v="4"/>
    <n v="4"/>
    <x v="733"/>
    <n v="25000"/>
    <s v="Returned"/>
    <s v="Satisfied"/>
    <s v="No"/>
    <x v="0"/>
  </r>
  <r>
    <x v="744"/>
    <s v="CUST-0204"/>
    <s v="Nadia Pratama"/>
    <d v="2026-06-20T00:00:00"/>
    <x v="0"/>
    <s v="Jakarta"/>
    <x v="3"/>
    <s v="New Customer"/>
    <x v="4"/>
    <x v="3"/>
    <n v="5"/>
    <x v="734"/>
    <n v="0"/>
    <s v="Delivered"/>
    <s v="Very Satisfied"/>
    <s v="Yes"/>
    <x v="1"/>
  </r>
  <r>
    <x v="745"/>
    <s v="CUST-0078"/>
    <s v="Maya Pratama"/>
    <d v="2026-04-24T00:00:00"/>
    <x v="3"/>
    <s v="Bandung"/>
    <x v="0"/>
    <s v="Corporate"/>
    <x v="3"/>
    <x v="3"/>
    <n v="2"/>
    <x v="735"/>
    <n v="50000"/>
    <s v="Delivered"/>
    <s v="Satisfied"/>
    <s v="Yes"/>
    <x v="0"/>
  </r>
  <r>
    <x v="746"/>
    <s v="CUST-0072"/>
    <s v="Dimas Lestari"/>
    <d v="2026-04-17T00:00:00"/>
    <x v="3"/>
    <s v="Bandung"/>
    <x v="0"/>
    <s v="Vip"/>
    <x v="2"/>
    <x v="0"/>
    <n v="7"/>
    <x v="736"/>
    <n v="25000"/>
    <s v="Delivered"/>
    <s v="Very Satisfied"/>
    <s v="Yes"/>
    <x v="0"/>
  </r>
  <r>
    <x v="747"/>
    <s v="CUST-0236"/>
    <s v="Dimas Saputra"/>
    <d v="2026-06-12T00:00:00"/>
    <x v="0"/>
    <s v="Bandung"/>
    <x v="0"/>
    <s v="Corporate"/>
    <x v="1"/>
    <x v="4"/>
    <n v="2"/>
    <x v="737"/>
    <n v="35000"/>
    <s v="Delivered"/>
    <s v="Very Satisfied"/>
    <s v="No"/>
    <x v="0"/>
  </r>
  <r>
    <x v="748"/>
    <s v="CUST-0070"/>
    <s v="Nadia Pratama"/>
    <d v="2026-01-06T00:00:00"/>
    <x v="1"/>
    <s v="Jakarta"/>
    <x v="3"/>
    <s v="Corporate"/>
    <x v="3"/>
    <x v="1"/>
    <n v="1"/>
    <x v="738"/>
    <n v="35000"/>
    <s v="Delivered"/>
    <s v=" very satisfied "/>
    <s v="Yes"/>
    <x v="0"/>
  </r>
  <r>
    <x v="749"/>
    <s v="CUST-0010"/>
    <s v="Citra Pratama"/>
    <d v="2026-05-08T00:00:00"/>
    <x v="5"/>
    <s v="Jakarta"/>
    <x v="3"/>
    <s v="New Customer"/>
    <x v="0"/>
    <x v="3"/>
    <n v="4"/>
    <x v="739"/>
    <n v="35000"/>
    <s v="Delivered"/>
    <s v="Very Satisfied"/>
    <s v="No"/>
    <x v="0"/>
  </r>
  <r>
    <x v="750"/>
    <s v="CUST-0052"/>
    <s v="Rizky Putri"/>
    <d v="2026-03-10T00:00:00"/>
    <x v="4"/>
    <s v="Jakarta"/>
    <x v="3"/>
    <s v="New Customer"/>
    <x v="1"/>
    <x v="1"/>
    <n v="7"/>
    <x v="740"/>
    <n v="25000"/>
    <s v="Delivered"/>
    <s v="Satisfied"/>
    <s v="No"/>
    <x v="0"/>
  </r>
  <r>
    <x v="751"/>
    <s v="CUST-0203"/>
    <s v="Maya Permata"/>
    <d v="2026-03-01T00:00:00"/>
    <x v="4"/>
    <s v="Medan"/>
    <x v="1"/>
    <s v="Returning Customer"/>
    <x v="0"/>
    <x v="3"/>
    <n v="3"/>
    <x v="741"/>
    <n v="25000"/>
    <s v="Delivered"/>
    <s v="Satisfied"/>
    <s v="Yes"/>
    <x v="0"/>
  </r>
  <r>
    <x v="752"/>
    <s v="CUST-0083"/>
    <s v="Fajar Saputra"/>
    <d v="2026-06-13T00:00:00"/>
    <x v="0"/>
    <s v="Surabaya"/>
    <x v="4"/>
    <s v="Vip"/>
    <x v="5"/>
    <x v="1"/>
    <n v="2"/>
    <x v="742"/>
    <n v="35000"/>
    <s v="Delivered"/>
    <s v="Satisfied"/>
    <s v="No"/>
    <x v="0"/>
  </r>
  <r>
    <x v="753"/>
    <s v="CUST-0093"/>
    <s v="Citra Lestari"/>
    <d v="2026-04-21T00:00:00"/>
    <x v="3"/>
    <s v="Medan"/>
    <x v="1"/>
    <s v="Corporate"/>
    <x v="1"/>
    <x v="0"/>
    <n v="3"/>
    <x v="743"/>
    <n v="50000"/>
    <s v=" delayed "/>
    <s v="Neutral"/>
    <s v="Yes"/>
    <x v="0"/>
  </r>
  <r>
    <x v="754"/>
    <s v="CUST-0088"/>
    <s v="Raka Santoso"/>
    <d v="2026-05-10T00:00:00"/>
    <x v="5"/>
    <s v="Bandung"/>
    <x v="0"/>
    <s v="Returning Customer"/>
    <x v="5"/>
    <x v="1"/>
    <n v="3"/>
    <x v="744"/>
    <n v="50000"/>
    <s v="Delivered"/>
    <s v="Neutral"/>
    <s v="Yes"/>
    <x v="0"/>
  </r>
  <r>
    <x v="755"/>
    <s v="CUST-0211"/>
    <s v="Dimas Santoso"/>
    <d v="2026-04-18T00:00:00"/>
    <x v="3"/>
    <s v="Jakarta"/>
    <x v="3"/>
    <s v="Vip"/>
    <x v="1"/>
    <x v="0"/>
    <n v="5"/>
    <x v="745"/>
    <n v="50000"/>
    <s v="Delivered"/>
    <s v="Very Satisfied"/>
    <s v="Yes"/>
    <x v="0"/>
  </r>
  <r>
    <x v="756"/>
    <s v="CUST-0176"/>
    <s v="Rizky Dewi"/>
    <d v="2026-03-27T00:00:00"/>
    <x v="4"/>
    <s v="Makassar"/>
    <x v="2"/>
    <s v="Corporate"/>
    <x v="1"/>
    <x v="1"/>
    <n v="3"/>
    <x v="746"/>
    <n v="0"/>
    <s v="Delivered"/>
    <s v="Neutral"/>
    <s v="Yes"/>
    <x v="1"/>
  </r>
  <r>
    <x v="757"/>
    <s v="CUST-0148"/>
    <s v="Raka Pratama"/>
    <d v="2026-03-31T00:00:00"/>
    <x v="4"/>
    <s v="Bandung"/>
    <x v="0"/>
    <s v="New Customer"/>
    <x v="1"/>
    <x v="2"/>
    <n v="2"/>
    <x v="747"/>
    <n v="0"/>
    <s v="Delivered"/>
    <s v="Satisfied"/>
    <s v="No"/>
    <x v="1"/>
  </r>
  <r>
    <x v="758"/>
    <s v="CUST-0037"/>
    <s v="Maya Santoso"/>
    <d v="2026-01-19T00:00:00"/>
    <x v="1"/>
    <s v="Makassar"/>
    <x v="2"/>
    <s v="New Customer"/>
    <x v="5"/>
    <x v="2"/>
    <n v="7"/>
    <x v="748"/>
    <n v="15000"/>
    <s v="Delivered"/>
    <s v="Neutral"/>
    <s v="Yes"/>
    <x v="0"/>
  </r>
  <r>
    <x v="759"/>
    <s v="CUST-0008"/>
    <s v="Nadia Pratama"/>
    <d v="2026-03-17T00:00:00"/>
    <x v="4"/>
    <s v="Medan"/>
    <x v="1"/>
    <s v="New Customer"/>
    <x v="2"/>
    <x v="3"/>
    <n v="2"/>
    <x v="749"/>
    <n v="15000"/>
    <s v="Delayed"/>
    <s v="Very Satisfied"/>
    <s v="No"/>
    <x v="0"/>
  </r>
  <r>
    <x v="760"/>
    <s v="CUST-0003"/>
    <s v="Bima Wijaya"/>
    <d v="2026-06-28T00:00:00"/>
    <x v="0"/>
    <s v="Makassar"/>
    <x v="2"/>
    <s v="Corporate"/>
    <x v="3"/>
    <x v="4"/>
    <n v="4"/>
    <x v="750"/>
    <n v="25000"/>
    <s v="Delivered"/>
    <s v="Very Satisfied"/>
    <s v="Yes"/>
    <x v="0"/>
  </r>
  <r>
    <x v="761"/>
    <s v="CUST-0174"/>
    <s v="Alya Wijaya"/>
    <d v="2026-05-06T00:00:00"/>
    <x v="5"/>
    <s v="Medan"/>
    <x v="1"/>
    <s v="Corporate"/>
    <x v="1"/>
    <x v="2"/>
    <n v="3"/>
    <x v="751"/>
    <n v="35000"/>
    <s v="Delivered"/>
    <s v="Very Satisfied"/>
    <s v="No"/>
    <x v="0"/>
  </r>
  <r>
    <x v="762"/>
    <s v="CUST-0177"/>
    <s v="Rizky Santoso"/>
    <d v="1970-01-01T00:00:00"/>
    <x v="1"/>
    <s v="Jakarta"/>
    <x v="3"/>
    <s v="Corporate"/>
    <x v="0"/>
    <x v="4"/>
    <n v="1"/>
    <x v="752"/>
    <n v="35000"/>
    <s v="Delivered"/>
    <s v="Dissatisfied"/>
    <s v="Yes"/>
    <x v="9"/>
  </r>
  <r>
    <x v="763"/>
    <s v="CUST-0022"/>
    <s v="Fajar Saputra"/>
    <d v="2026-03-04T00:00:00"/>
    <x v="4"/>
    <s v="Medan"/>
    <x v="1"/>
    <s v="New Customer"/>
    <x v="0"/>
    <x v="3"/>
    <n v="4"/>
    <x v="753"/>
    <n v="35000"/>
    <s v="Delivered"/>
    <s v="Very Satisfied"/>
    <s v="No"/>
    <x v="0"/>
  </r>
  <r>
    <x v="764"/>
    <s v="CUST-0056"/>
    <s v="Maya Santoso"/>
    <d v="2026-06-07T00:00:00"/>
    <x v="0"/>
    <s v="Jakarta"/>
    <x v="3"/>
    <s v="Corporate"/>
    <x v="4"/>
    <x v="4"/>
    <n v="1"/>
    <x v="754"/>
    <n v="0"/>
    <s v="Delivered"/>
    <s v="Satisfied"/>
    <s v="Yes"/>
    <x v="1"/>
  </r>
  <r>
    <x v="765"/>
    <s v="CUST-0119"/>
    <s v="Fajar Santoso"/>
    <d v="2026-03-12T00:00:00"/>
    <x v="4"/>
    <s v="Jakarta"/>
    <x v="3"/>
    <s v="Vip"/>
    <x v="1"/>
    <x v="2"/>
    <n v="7"/>
    <x v="755"/>
    <n v="35000"/>
    <s v="Cancelled"/>
    <s v="Satisfied"/>
    <s v="No"/>
    <x v="4"/>
  </r>
  <r>
    <x v="766"/>
    <s v="CUST-0045"/>
    <s v="Nadia Lestari"/>
    <d v="2026-04-26T00:00:00"/>
    <x v="3"/>
    <s v="Jakarta"/>
    <x v="3"/>
    <s v="Returning Customer"/>
    <x v="4"/>
    <x v="0"/>
    <n v="1"/>
    <x v="756"/>
    <n v="15000"/>
    <s v="Delivered"/>
    <s v="Very Satisfied"/>
    <s v="No"/>
    <x v="0"/>
  </r>
  <r>
    <x v="767"/>
    <s v="CUST-0125"/>
    <s v="Dimas Santoso"/>
    <d v="2026-03-05T00:00:00"/>
    <x v="4"/>
    <s v="Bandung"/>
    <x v="0"/>
    <s v="Corporate"/>
    <x v="4"/>
    <x v="3"/>
    <n v="7"/>
    <x v="757"/>
    <n v="35000"/>
    <s v="Delivered"/>
    <s v="Satisfied"/>
    <s v="Yes"/>
    <x v="0"/>
  </r>
  <r>
    <x v="768"/>
    <s v="CUST-0058"/>
    <s v="Citra Wijaya"/>
    <d v="2026-03-29T00:00:00"/>
    <x v="4"/>
    <s v="Jakarta"/>
    <x v="3"/>
    <s v="New Customer"/>
    <x v="5"/>
    <x v="0"/>
    <n v="6"/>
    <x v="758"/>
    <n v="15000"/>
    <s v="Delivered"/>
    <s v="Satisfied"/>
    <s v="Yes"/>
    <x v="0"/>
  </r>
  <r>
    <x v="769"/>
    <s v="CUST-0190"/>
    <s v="Maya Dewi"/>
    <d v="2026-06-04T00:00:00"/>
    <x v="0"/>
    <s v="Medan"/>
    <x v="1"/>
    <s v="New Customer"/>
    <x v="3"/>
    <x v="4"/>
    <n v="4"/>
    <x v="759"/>
    <n v="0"/>
    <s v="Delivered"/>
    <s v="Neutral"/>
    <s v="No"/>
    <x v="1"/>
  </r>
  <r>
    <x v="770"/>
    <s v="CUST-0163"/>
    <s v="Sari Putri"/>
    <d v="2026-05-20T00:00:00"/>
    <x v="5"/>
    <s v="Medan"/>
    <x v="1"/>
    <s v="New Customer"/>
    <x v="4"/>
    <x v="2"/>
    <n v="4"/>
    <x v="760"/>
    <n v="35000"/>
    <s v="Delivered"/>
    <s v="Satisfied"/>
    <s v="No"/>
    <x v="0"/>
  </r>
  <r>
    <x v="771"/>
    <s v="CUST-0225"/>
    <s v="Alya Santoso"/>
    <d v="2026-06-20T00:00:00"/>
    <x v="0"/>
    <s v="Bandung"/>
    <x v="0"/>
    <s v="New Customer"/>
    <x v="4"/>
    <x v="0"/>
    <n v="4"/>
    <x v="761"/>
    <n v="35000"/>
    <s v="Delivered"/>
    <s v="Very Satisfied"/>
    <s v="Yes"/>
    <x v="0"/>
  </r>
  <r>
    <x v="772"/>
    <s v="CUST-0147"/>
    <s v="Bima Permata"/>
    <d v="2026-02-17T00:00:00"/>
    <x v="2"/>
    <s v="Jakarta"/>
    <x v="3"/>
    <s v="Returning Customer"/>
    <x v="1"/>
    <x v="1"/>
    <n v="6"/>
    <x v="762"/>
    <n v="35000"/>
    <s v="Returned"/>
    <s v="Satisfied"/>
    <s v="Yes"/>
    <x v="0"/>
  </r>
  <r>
    <x v="773"/>
    <s v="CUST-0144"/>
    <s v="Nadia Putri"/>
    <d v="2026-01-11T00:00:00"/>
    <x v="1"/>
    <s v="Medan"/>
    <x v="1"/>
    <s v="New Customer"/>
    <x v="0"/>
    <x v="2"/>
    <n v="2"/>
    <x v="763"/>
    <n v="15000"/>
    <s v="Delivered"/>
    <s v="Satisfied"/>
    <s v="Yes"/>
    <x v="0"/>
  </r>
  <r>
    <x v="774"/>
    <s v="CUST-0029"/>
    <s v="Nadia Lestari"/>
    <d v="2026-05-15T00:00:00"/>
    <x v="5"/>
    <s v="Bdg"/>
    <x v="0"/>
    <s v="Vip"/>
    <x v="5"/>
    <x v="1"/>
    <n v="5"/>
    <x v="764"/>
    <n v="50000"/>
    <s v="Delivered"/>
    <s v="Neutral"/>
    <s v="Yes"/>
    <x v="0"/>
  </r>
  <r>
    <x v="775"/>
    <s v="CUST-0049"/>
    <s v="Rizky Wijaya"/>
    <d v="2026-06-19T00:00:00"/>
    <x v="0"/>
    <s v="Makassar"/>
    <x v="2"/>
    <s v="New Customer"/>
    <x v="5"/>
    <x v="0"/>
    <m/>
    <x v="765"/>
    <n v="35000"/>
    <s v="Delivered"/>
    <s v="Very Satisfied"/>
    <s v="Yes"/>
    <x v="7"/>
  </r>
  <r>
    <x v="776"/>
    <s v="CUST-0221"/>
    <s v="Alya Lestari"/>
    <d v="2026-01-18T00:00:00"/>
    <x v="1"/>
    <s v="Medan"/>
    <x v="1"/>
    <s v="Vip"/>
    <x v="5"/>
    <x v="3"/>
    <n v="1"/>
    <x v="766"/>
    <n v="50000"/>
    <s v="Delivered"/>
    <s v="Very Satisfied"/>
    <s v="No"/>
    <x v="0"/>
  </r>
  <r>
    <x v="777"/>
    <s v="CUST-0016"/>
    <s v="Alya Dewi"/>
    <d v="2026-04-21T00:00:00"/>
    <x v="3"/>
    <s v="Surabaya"/>
    <x v="4"/>
    <s v="Corporate"/>
    <x v="2"/>
    <x v="4"/>
    <n v="7"/>
    <x v="767"/>
    <n v="25000"/>
    <s v="Delivered"/>
    <s v="Very Satisfied"/>
    <s v="Yes"/>
    <x v="0"/>
  </r>
  <r>
    <x v="778"/>
    <s v="CUST-0192"/>
    <s v="Rizky Putri"/>
    <d v="2026-02-02T00:00:00"/>
    <x v="2"/>
    <s v="Bandung"/>
    <x v="0"/>
    <s v="Returning Customer"/>
    <x v="1"/>
    <x v="4"/>
    <n v="7"/>
    <x v="768"/>
    <n v="50000"/>
    <s v="Delivered"/>
    <s v="Satisfied"/>
    <s v="No"/>
    <x v="0"/>
  </r>
  <r>
    <x v="779"/>
    <s v="CUST-0128"/>
    <s v="Bima Santoso"/>
    <d v="2026-01-20T00:00:00"/>
    <x v="1"/>
    <s v="Bandung"/>
    <x v="0"/>
    <s v="New Customer"/>
    <x v="0"/>
    <x v="3"/>
    <n v="1"/>
    <x v="769"/>
    <n v="50000"/>
    <s v="Delivered"/>
    <s v="Satisfied"/>
    <s v="No"/>
    <x v="0"/>
  </r>
  <r>
    <x v="780"/>
    <s v="CUST-0072"/>
    <s v="Dimas Lestari"/>
    <d v="2026-04-29T00:00:00"/>
    <x v="3"/>
    <s v="Surabaya"/>
    <x v="4"/>
    <s v="Corporate"/>
    <x v="1"/>
    <x v="1"/>
    <n v="7"/>
    <x v="770"/>
    <n v="25000"/>
    <s v="Delivered"/>
    <s v="Very Satisfied"/>
    <s v="No"/>
    <x v="0"/>
  </r>
  <r>
    <x v="781"/>
    <s v="CUST-0194"/>
    <s v="Rizky Saputra"/>
    <d v="2026-06-26T00:00:00"/>
    <x v="0"/>
    <s v="Medan"/>
    <x v="1"/>
    <s v="Vip"/>
    <x v="4"/>
    <x v="1"/>
    <n v="5"/>
    <x v="771"/>
    <n v="50000"/>
    <s v="Delivered"/>
    <s v="Satisfied"/>
    <s v="No"/>
    <x v="0"/>
  </r>
  <r>
    <x v="782"/>
    <s v="CUST-0137"/>
    <s v="Fajar Saputra"/>
    <d v="2026-05-13T00:00:00"/>
    <x v="5"/>
    <s v="Surabaya"/>
    <x v="4"/>
    <s v="Returning Customer"/>
    <x v="0"/>
    <x v="3"/>
    <n v="6"/>
    <x v="772"/>
    <n v="25000"/>
    <s v="Delivered"/>
    <s v="Very Satisfied"/>
    <s v="Yes"/>
    <x v="0"/>
  </r>
  <r>
    <x v="783"/>
    <s v="CUST-0145"/>
    <s v="Bima Lestari"/>
    <d v="2026-02-18T00:00:00"/>
    <x v="2"/>
    <s v="Surabaya"/>
    <x v="4"/>
    <s v="Corporate"/>
    <x v="3"/>
    <x v="0"/>
    <n v="2"/>
    <x v="773"/>
    <n v="25000"/>
    <s v="Delayed"/>
    <s v="Neutral"/>
    <s v="Yes"/>
    <x v="0"/>
  </r>
  <r>
    <x v="784"/>
    <s v="CUST-0206"/>
    <s v="Rizky Dewi"/>
    <d v="2026-06-26T00:00:00"/>
    <x v="0"/>
    <s v="Makassar"/>
    <x v="2"/>
    <s v="Vip"/>
    <x v="5"/>
    <x v="1"/>
    <n v="6"/>
    <x v="774"/>
    <n v="15000"/>
    <s v="Delivered"/>
    <s v="Satisfied"/>
    <s v="Yes"/>
    <x v="0"/>
  </r>
  <r>
    <x v="785"/>
    <s v="CUST-0031"/>
    <s v="Rizky Permata"/>
    <d v="2026-03-16T00:00:00"/>
    <x v="4"/>
    <s v="Medan"/>
    <x v="1"/>
    <s v="Vip"/>
    <x v="5"/>
    <x v="1"/>
    <n v="5"/>
    <x v="775"/>
    <n v="15000"/>
    <s v="Delayed"/>
    <s v="Satisfied"/>
    <s v="No"/>
    <x v="0"/>
  </r>
  <r>
    <x v="786"/>
    <s v="CUST-0184"/>
    <s v="Sari Pratama"/>
    <d v="2026-03-11T00:00:00"/>
    <x v="4"/>
    <s v="Surabaya"/>
    <x v="4"/>
    <s v="New Customer"/>
    <x v="2"/>
    <x v="4"/>
    <n v="3"/>
    <x v="776"/>
    <n v="50000"/>
    <s v="Delivered"/>
    <s v="Satisfied"/>
    <s v="No"/>
    <x v="0"/>
  </r>
  <r>
    <x v="787"/>
    <s v="CUST-0001"/>
    <s v="Maya Putri"/>
    <d v="2026-01-18T00:00:00"/>
    <x v="1"/>
    <s v="Makassar"/>
    <x v="2"/>
    <s v="Vip"/>
    <x v="1"/>
    <x v="4"/>
    <n v="4"/>
    <x v="777"/>
    <n v="25000"/>
    <s v="Delivered"/>
    <s v="Dissatisfied"/>
    <s v="No"/>
    <x v="0"/>
  </r>
  <r>
    <x v="788"/>
    <s v="CUST-0051"/>
    <s v="Rizky Dewi"/>
    <d v="2026-03-10T00:00:00"/>
    <x v="4"/>
    <s v="Medan"/>
    <x v="1"/>
    <s v="Vip"/>
    <x v="4"/>
    <x v="0"/>
    <n v="6"/>
    <x v="778"/>
    <n v="35000"/>
    <s v="Returned"/>
    <s v="Neutral"/>
    <s v="Yes"/>
    <x v="0"/>
  </r>
  <r>
    <x v="789"/>
    <s v="CUST-0032"/>
    <s v="Sari Santoso"/>
    <d v="2026-04-03T00:00:00"/>
    <x v="3"/>
    <s v="Makassar"/>
    <x v="2"/>
    <s v="Vip"/>
    <x v="5"/>
    <x v="2"/>
    <n v="7"/>
    <x v="779"/>
    <n v="0"/>
    <s v="Delivered"/>
    <s v="Very Satisfied"/>
    <s v="No"/>
    <x v="1"/>
  </r>
  <r>
    <x v="790"/>
    <s v="CUST-0053"/>
    <s v="Raka Putri"/>
    <d v="2026-01-11T00:00:00"/>
    <x v="1"/>
    <s v="Surabaya"/>
    <x v="4"/>
    <s v="Vip"/>
    <x v="2"/>
    <x v="0"/>
    <n v="1"/>
    <x v="780"/>
    <n v="0"/>
    <s v="Delivered"/>
    <s v="Dissatisfied"/>
    <s v="Yes"/>
    <x v="1"/>
  </r>
  <r>
    <x v="791"/>
    <s v="CUST-0057"/>
    <s v="Raka Wijaya"/>
    <d v="2026-06-08T00:00:00"/>
    <x v="0"/>
    <s v="Surabaya"/>
    <x v="4"/>
    <s v="Returning Customer"/>
    <x v="5"/>
    <x v="1"/>
    <n v="3"/>
    <x v="781"/>
    <n v="50000"/>
    <s v="Delayed"/>
    <m/>
    <s v="Yes"/>
    <x v="6"/>
  </r>
  <r>
    <x v="792"/>
    <s v="CUST-0139"/>
    <s v="Maya Pratama"/>
    <d v="2026-06-07T00:00:00"/>
    <x v="0"/>
    <s v="Surabaya"/>
    <x v="4"/>
    <s v="Corporate"/>
    <x v="4"/>
    <x v="2"/>
    <n v="1"/>
    <x v="782"/>
    <n v="15000"/>
    <s v="Delivered"/>
    <s v="Satisfied"/>
    <s v="Yes"/>
    <x v="0"/>
  </r>
  <r>
    <x v="793"/>
    <s v="CUST-0217"/>
    <s v="Dimas Santoso"/>
    <d v="2026-04-15T00:00:00"/>
    <x v="3"/>
    <s v="Bandung"/>
    <x v="0"/>
    <s v="Vip"/>
    <x v="4"/>
    <x v="2"/>
    <n v="4"/>
    <x v="783"/>
    <n v="15000"/>
    <s v="Delivered"/>
    <s v="Neutral"/>
    <s v="Yes"/>
    <x v="0"/>
  </r>
  <r>
    <x v="794"/>
    <s v="CUST-0172"/>
    <s v="Dimas Dewi"/>
    <d v="2026-03-20T00:00:00"/>
    <x v="4"/>
    <s v="Bandung"/>
    <x v="0"/>
    <s v="Returning Customer"/>
    <x v="4"/>
    <x v="2"/>
    <n v="7"/>
    <x v="784"/>
    <n v="50000"/>
    <s v="Delivered"/>
    <s v="Satisfied"/>
    <s v="No"/>
    <x v="0"/>
  </r>
  <r>
    <x v="795"/>
    <s v="CUST-0183"/>
    <s v="Bima Dewi"/>
    <d v="2026-04-24T00:00:00"/>
    <x v="3"/>
    <s v="Jakarta"/>
    <x v="3"/>
    <s v="Vip"/>
    <x v="5"/>
    <x v="1"/>
    <n v="6"/>
    <x v="785"/>
    <n v="15000"/>
    <s v="Delayed"/>
    <s v="Dissatisfied"/>
    <s v="No"/>
    <x v="0"/>
  </r>
  <r>
    <x v="796"/>
    <s v="CUST-0203"/>
    <s v="Maya Permata"/>
    <d v="2026-05-15T00:00:00"/>
    <x v="5"/>
    <s v="Medan"/>
    <x v="1"/>
    <s v="Returning Customer"/>
    <x v="0"/>
    <x v="0"/>
    <n v="1"/>
    <x v="59"/>
    <n v="25000"/>
    <s v=" delivered "/>
    <s v="Satisfied"/>
    <s v="Yes"/>
    <x v="3"/>
  </r>
  <r>
    <x v="797"/>
    <s v="CUST-0154"/>
    <s v="Fajar Pratama"/>
    <d v="2026-06-28T00:00:00"/>
    <x v="0"/>
    <s v="Surabaya"/>
    <x v="4"/>
    <s v="Corporate"/>
    <x v="0"/>
    <x v="0"/>
    <n v="7"/>
    <x v="786"/>
    <n v="15000"/>
    <s v="Delivered"/>
    <s v="Very Satisfied"/>
    <s v="No"/>
    <x v="0"/>
  </r>
  <r>
    <x v="798"/>
    <s v="CUST-0231"/>
    <s v="Nadia Pratama"/>
    <d v="2026-03-01T00:00:00"/>
    <x v="4"/>
    <s v="Jakarta"/>
    <x v="3"/>
    <s v="Corporate"/>
    <x v="3"/>
    <x v="2"/>
    <n v="4"/>
    <x v="787"/>
    <n v="50000"/>
    <s v="Returned"/>
    <s v="Neutral"/>
    <s v="No"/>
    <x v="0"/>
  </r>
  <r>
    <x v="799"/>
    <s v="CUST-0147"/>
    <s v="Bima Permata"/>
    <d v="2026-03-30T00:00:00"/>
    <x v="4"/>
    <s v="Medan"/>
    <x v="1"/>
    <s v="New Customer"/>
    <x v="2"/>
    <x v="3"/>
    <n v="1"/>
    <x v="788"/>
    <n v="35000"/>
    <s v="Delivered"/>
    <s v="Satisfied"/>
    <s v="No"/>
    <x v="0"/>
  </r>
  <r>
    <x v="800"/>
    <s v="CUST-0059"/>
    <s v="Raka Wijaya"/>
    <d v="2026-03-10T00:00:00"/>
    <x v="4"/>
    <s v="Makassar"/>
    <x v="2"/>
    <s v="Returning Customer"/>
    <x v="4"/>
    <x v="1"/>
    <n v="4"/>
    <x v="789"/>
    <n v="25000"/>
    <s v="Delivered"/>
    <s v="Very Satisfied"/>
    <s v="No"/>
    <x v="0"/>
  </r>
  <r>
    <x v="801"/>
    <s v="CUST-0013"/>
    <s v="Citra Wijaya"/>
    <d v="2026-02-28T00:00:00"/>
    <x v="2"/>
    <s v="Surabaya"/>
    <x v="4"/>
    <s v="New Customer"/>
    <x v="1"/>
    <x v="3"/>
    <n v="1"/>
    <x v="790"/>
    <n v="15000"/>
    <s v="Delivered"/>
    <s v="Satisfied"/>
    <s v="No"/>
    <x v="0"/>
  </r>
  <r>
    <x v="802"/>
    <s v="cust-0039"/>
    <s v="Bima Wijaya"/>
    <d v="2026-03-17T00:00:00"/>
    <x v="4"/>
    <s v="Bandung"/>
    <x v="0"/>
    <s v="New Customer"/>
    <x v="5"/>
    <x v="2"/>
    <n v="3"/>
    <x v="791"/>
    <n v="35000"/>
    <s v="Delayed"/>
    <s v="Neutral"/>
    <s v="Yes"/>
    <x v="0"/>
  </r>
  <r>
    <x v="803"/>
    <s v="CUST-0147"/>
    <s v="Bima Permata"/>
    <d v="2026-06-17T00:00:00"/>
    <x v="0"/>
    <s v="Bandung"/>
    <x v="0"/>
    <s v="Returning Customer"/>
    <x v="4"/>
    <x v="0"/>
    <n v="5"/>
    <x v="792"/>
    <n v="25000"/>
    <s v="Delivered"/>
    <s v="Satisfied"/>
    <s v="Yes"/>
    <x v="0"/>
  </r>
  <r>
    <x v="804"/>
    <s v="CUST-0018"/>
    <s v="Citra Santoso"/>
    <d v="2026-01-26T00:00:00"/>
    <x v="1"/>
    <s v="Surabaya"/>
    <x v="4"/>
    <s v="Returning Customer"/>
    <x v="5"/>
    <x v="4"/>
    <n v="5"/>
    <x v="793"/>
    <n v="15000"/>
    <s v="Delivered"/>
    <s v="Satisfied"/>
    <s v="Yes"/>
    <x v="0"/>
  </r>
  <r>
    <x v="805"/>
    <s v="CUST-0063"/>
    <s v="Fajar Lestari"/>
    <d v="2026-01-03T00:00:00"/>
    <x v="1"/>
    <s v="Makassar"/>
    <x v="2"/>
    <s v="New Customer"/>
    <x v="2"/>
    <x v="0"/>
    <n v="7"/>
    <x v="794"/>
    <n v="15000"/>
    <s v="Delivered"/>
    <s v="Neutral"/>
    <s v="Yes"/>
    <x v="0"/>
  </r>
  <r>
    <x v="806"/>
    <s v="CUST-0013"/>
    <s v="Citra Wijaya"/>
    <d v="2026-05-01T00:00:00"/>
    <x v="5"/>
    <s v="Surabaya"/>
    <x v="4"/>
    <s v="Corporate"/>
    <x v="5"/>
    <x v="1"/>
    <n v="2"/>
    <x v="795"/>
    <n v="15000"/>
    <s v="Delayed"/>
    <s v="Neutral"/>
    <s v="Yes"/>
    <x v="0"/>
  </r>
  <r>
    <x v="807"/>
    <s v="CUST-0182"/>
    <s v="Nadia Lestari"/>
    <d v="2026-01-29T00:00:00"/>
    <x v="1"/>
    <s v="Medan"/>
    <x v="1"/>
    <s v="Returning Customer"/>
    <x v="4"/>
    <x v="3"/>
    <n v="6"/>
    <x v="796"/>
    <n v="15000"/>
    <s v="Delivered"/>
    <s v="Very Satisfied"/>
    <s v="No"/>
    <x v="0"/>
  </r>
  <r>
    <x v="808"/>
    <s v="CUST-0136"/>
    <s v="Maya Permata"/>
    <d v="2026-05-06T00:00:00"/>
    <x v="5"/>
    <s v="Medan"/>
    <x v="1"/>
    <s v="Vip"/>
    <x v="1"/>
    <x v="4"/>
    <n v="5"/>
    <x v="797"/>
    <n v="50000"/>
    <s v="Delivered"/>
    <s v="Neutral"/>
    <s v="No"/>
    <x v="0"/>
  </r>
  <r>
    <x v="809"/>
    <s v="CUST-0193"/>
    <s v="Citra Santoso"/>
    <d v="2026-03-06T00:00:00"/>
    <x v="4"/>
    <s v="Jakarta"/>
    <x v="3"/>
    <s v="Returning Customer"/>
    <x v="4"/>
    <x v="4"/>
    <n v="2"/>
    <x v="798"/>
    <n v="35000"/>
    <s v="Delivered"/>
    <s v="Satisfied"/>
    <s v="No"/>
    <x v="0"/>
  </r>
  <r>
    <x v="810"/>
    <s v="CUST-0216"/>
    <s v="Raka Putri"/>
    <d v="2026-03-18T00:00:00"/>
    <x v="4"/>
    <s v="Jakarta"/>
    <x v="3"/>
    <s v="Vip"/>
    <x v="2"/>
    <x v="0"/>
    <n v="4"/>
    <x v="799"/>
    <n v="50000"/>
    <s v="Delivered"/>
    <s v="Very Satisfied"/>
    <s v="Yes"/>
    <x v="0"/>
  </r>
  <r>
    <x v="811"/>
    <s v="CUST-0056"/>
    <s v="Maya Santoso"/>
    <d v="2026-04-22T00:00:00"/>
    <x v="3"/>
    <s v="Bdg"/>
    <x v="0"/>
    <s v="Vip"/>
    <x v="2"/>
    <x v="0"/>
    <n v="7"/>
    <x v="800"/>
    <n v="35000"/>
    <s v="Delivered"/>
    <s v="Satisfied"/>
    <s v="Yes"/>
    <x v="0"/>
  </r>
  <r>
    <x v="812"/>
    <s v="CUST-0005"/>
    <s v="Nadia Saputra"/>
    <d v="2026-02-28T00:00:00"/>
    <x v="2"/>
    <s v="Surabaya"/>
    <x v="4"/>
    <s v="Returning Customer"/>
    <x v="2"/>
    <x v="0"/>
    <n v="4"/>
    <x v="801"/>
    <n v="25000"/>
    <s v="Delivered"/>
    <s v="Satisfied"/>
    <s v="No"/>
    <x v="0"/>
  </r>
  <r>
    <x v="813"/>
    <s v="CUST-0014"/>
    <s v="Citra Dewi"/>
    <d v="2026-03-04T00:00:00"/>
    <x v="4"/>
    <s v="Medan"/>
    <x v="1"/>
    <s v="Corporate"/>
    <x v="4"/>
    <x v="4"/>
    <n v="3"/>
    <x v="802"/>
    <n v="0"/>
    <s v="Delivered"/>
    <s v="Satisfied"/>
    <s v="No"/>
    <x v="1"/>
  </r>
  <r>
    <x v="814"/>
    <s v="CUST-0091"/>
    <s v="Rizky Pratama"/>
    <d v="2026-05-12T00:00:00"/>
    <x v="5"/>
    <s v="Medan"/>
    <x v="1"/>
    <s v="New Customer"/>
    <x v="0"/>
    <x v="3"/>
    <n v="1"/>
    <x v="803"/>
    <n v="35000"/>
    <s v="Cancelled"/>
    <s v="Neutral"/>
    <s v="Yes"/>
    <x v="0"/>
  </r>
  <r>
    <x v="815"/>
    <s v="CUST-0080"/>
    <s v="Fajar Wijaya"/>
    <d v="2026-05-10T00:00:00"/>
    <x v="5"/>
    <s v="Surabaya"/>
    <x v="4"/>
    <s v="New Customer"/>
    <x v="4"/>
    <x v="4"/>
    <n v="1"/>
    <x v="804"/>
    <n v="0"/>
    <s v="Delivered"/>
    <s v="Satisfied"/>
    <s v="Yes"/>
    <x v="1"/>
  </r>
  <r>
    <x v="816"/>
    <s v="CUST-0162"/>
    <s v="Sari Putri"/>
    <d v="2026-05-14T00:00:00"/>
    <x v="5"/>
    <s v="Medan"/>
    <x v="1"/>
    <s v="Vip"/>
    <x v="1"/>
    <x v="3"/>
    <n v="4"/>
    <x v="805"/>
    <n v="0"/>
    <s v="Delivered"/>
    <s v="Neutral"/>
    <s v="No"/>
    <x v="1"/>
  </r>
  <r>
    <x v="817"/>
    <s v="CUST-0095"/>
    <s v="Alya Santoso"/>
    <d v="2026-01-14T00:00:00"/>
    <x v="1"/>
    <s v="Makassar"/>
    <x v="2"/>
    <s v="New Customer"/>
    <x v="3"/>
    <x v="4"/>
    <n v="1"/>
    <x v="806"/>
    <n v="50000"/>
    <s v="Delayed"/>
    <s v="Neutral"/>
    <s v="Yes"/>
    <x v="0"/>
  </r>
  <r>
    <x v="818"/>
    <s v="CUST-0040"/>
    <s v="Rizky Putri"/>
    <d v="2026-04-07T00:00:00"/>
    <x v="3"/>
    <s v="Bandung"/>
    <x v="0"/>
    <s v="Returning Customer"/>
    <x v="4"/>
    <x v="4"/>
    <n v="6"/>
    <x v="807"/>
    <n v="35000"/>
    <s v="Delivered"/>
    <s v="Very Satisfied"/>
    <s v="No"/>
    <x v="0"/>
  </r>
  <r>
    <x v="819"/>
    <s v="CUST-0071"/>
    <s v="Fajar Dewi"/>
    <d v="2026-04-11T00:00:00"/>
    <x v="3"/>
    <s v="Bandung"/>
    <x v="0"/>
    <s v="Corporate"/>
    <x v="1"/>
    <x v="0"/>
    <n v="1"/>
    <x v="808"/>
    <n v="0"/>
    <s v="Delivered"/>
    <s v="Dissatisfied"/>
    <s v="No"/>
    <x v="1"/>
  </r>
  <r>
    <x v="30"/>
    <s v="CUST-0031"/>
    <s v="Rizky Permata"/>
    <d v="2026-03-12T00:00:00"/>
    <x v="4"/>
    <s v="Makassar"/>
    <x v="2"/>
    <s v="Corporate"/>
    <x v="0"/>
    <x v="1"/>
    <n v="5"/>
    <x v="30"/>
    <n v="0"/>
    <s v="Delivered"/>
    <s v="Satisfied"/>
    <s v="Yes"/>
    <x v="2"/>
  </r>
  <r>
    <x v="206"/>
    <s v="CUST-0216"/>
    <s v="Raka Putri"/>
    <d v="2026-02-11T00:00:00"/>
    <x v="2"/>
    <s v="Makassar"/>
    <x v="2"/>
    <s v="Corporate"/>
    <x v="5"/>
    <x v="2"/>
    <n v="5"/>
    <x v="204"/>
    <n v="0"/>
    <s v="Delivered"/>
    <s v="Very Satisfied"/>
    <s v="Yes"/>
    <x v="2"/>
  </r>
  <r>
    <x v="389"/>
    <s v="CUST-0238"/>
    <s v="Fajar Permata"/>
    <d v="2026-05-21T00:00:00"/>
    <x v="5"/>
    <s v="Medan"/>
    <x v="1"/>
    <s v="Vip"/>
    <x v="4"/>
    <x v="1"/>
    <n v="4"/>
    <x v="385"/>
    <n v="25000"/>
    <s v="Delivered"/>
    <s v="Satisfied"/>
    <s v="No"/>
    <x v="12"/>
  </r>
  <r>
    <x v="549"/>
    <s v="CUST-0195"/>
    <s v="Citra Putri"/>
    <d v="2026-04-22T00:00:00"/>
    <x v="3"/>
    <s v="Medan"/>
    <x v="1"/>
    <s v="Returning Customer"/>
    <x v="3"/>
    <x v="3"/>
    <n v="3"/>
    <x v="542"/>
    <n v="15000"/>
    <s v="Delivered"/>
    <s v="Very Satisfied"/>
    <s v="No"/>
    <x v="12"/>
  </r>
  <r>
    <x v="709"/>
    <s v="CUST-0074"/>
    <s v="Bima Putri"/>
    <d v="2026-06-23T00:00:00"/>
    <x v="0"/>
    <s v="Bandung"/>
    <x v="0"/>
    <s v="Vip"/>
    <x v="5"/>
    <x v="4"/>
    <n v="2"/>
    <x v="700"/>
    <n v="35000"/>
    <s v="Delivered"/>
    <s v="Very Satisfied"/>
    <s v="Yes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90C31-3A41-4CA6-BA55-3AA8FDA9ADA9}" name="PivotTable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G23" firstHeaderRow="0" firstDataRow="1" firstDataCol="1" rowPageCount="1" colPageCount="1"/>
  <pivotFields count="17">
    <pivotField dataField="1" showAl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showAll="0"/>
    <pivotField showAll="0"/>
    <pivotField numFmtId="14" showAll="0"/>
    <pivotField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axis="axisRow" showAll="0" sortType="descending">
      <items count="7">
        <item x="1"/>
        <item x="4"/>
        <item x="2"/>
        <item x="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Fields count="1">
    <field x="8"/>
  </rowFields>
  <rowItems count="7">
    <i>
      <x v="4"/>
    </i>
    <i>
      <x/>
    </i>
    <i>
      <x v="5"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Sum of Order Value" fld="11" baseField="9" baseItem="0" numFmtId="3"/>
    <dataField name="Count of Transaction ID" fld="0" subtotal="count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1B397-8F9A-45E4-BF8C-DE3B8F139932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7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Fields count="1">
    <field x="9"/>
  </rowFields>
  <rowItems count="6">
    <i>
      <x v="2"/>
    </i>
    <i>
      <x v="4"/>
    </i>
    <i>
      <x/>
    </i>
    <i>
      <x v="1"/>
    </i>
    <i>
      <x v="3"/>
    </i>
    <i t="grand">
      <x/>
    </i>
  </rowItems>
  <colItems count="1">
    <i/>
  </colItems>
  <pageFields count="1">
    <pageField fld="16" hier="-1"/>
  </pageFields>
  <dataFields count="1">
    <dataField name="Sum of Order Value" fld="11" baseField="9" baseItem="0" numFmtId="3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0F975-69C6-4432-8EA3-AAE1E9326CFD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J32" firstHeaderRow="1" firstDataRow="1" firstDataCol="1"/>
  <pivotFields count="17">
    <pivotField dataField="1" showAl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showAll="0"/>
    <pivotField showAll="0"/>
    <pivotField numFmtId="14" showAll="0"/>
    <pivotField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showAll="0">
      <items count="7">
        <item x="1"/>
        <item x="4"/>
        <item x="2"/>
        <item x="3"/>
        <item x="5"/>
        <item x="0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16">
        <item x="0"/>
        <item x="12"/>
        <item x="2"/>
        <item x="7"/>
        <item x="8"/>
        <item x="9"/>
        <item x="10"/>
        <item x="11"/>
        <item x="5"/>
        <item x="3"/>
        <item x="14"/>
        <item x="6"/>
        <item x="13"/>
        <item x="1"/>
        <item x="4"/>
        <item t="default"/>
      </items>
    </pivotField>
  </pivotFields>
  <rowFields count="1">
    <field x="1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ransaction ID" fld="0" subtotal="count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C82BC-4672-43E9-A754-0EB2DF1E45EC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23" firstHeaderRow="0" firstDataRow="1" firstDataCol="1" rowPageCount="1" colPageCount="1"/>
  <pivotFields count="17">
    <pivotField dataField="1" showAl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showAll="0"/>
    <pivotField showAll="0"/>
    <pivotField numFmtId="14" showAll="0"/>
    <pivotField axis="axisRow" showAll="0">
      <items count="8">
        <item x="1"/>
        <item x="2"/>
        <item x="4"/>
        <item x="3"/>
        <item x="5"/>
        <item x="0"/>
        <item x="6"/>
        <item t="default"/>
      </items>
    </pivotField>
    <pivotField showAll="0"/>
    <pivotField showAll="0"/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Sum of Order Value" fld="11" baseField="9" baseItem="0" numFmtId="3"/>
    <dataField name="Count of Transaction ID" fld="0" subtotal="count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F4AA9-0556-46E2-B65E-CD6B6F629812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J7" firstHeaderRow="1" firstDataRow="1" firstDataCol="0" rowPageCount="2" colPageCount="1"/>
  <pivotFields count="17">
    <pivotField dataField="1" showAl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showAll="0"/>
    <pivotField showAll="0"/>
    <pivotField numFmtId="14" showAll="0"/>
    <pivotField showAll="0"/>
    <pivotField showAll="0"/>
    <pivotField axis="axisPage" multipleItemSelectionAllowed="1" showAll="0">
      <items count="6">
        <item h="1" x="0"/>
        <item h="1" x="3"/>
        <item h="1" x="2"/>
        <item h="1" x="1"/>
        <item x="4"/>
        <item t="default"/>
      </items>
    </pivotField>
    <pivotField showAll="0"/>
    <pivotField showAll="0"/>
    <pivotField multipleItemSelectionAllowed="1" showAll="0">
      <items count="6">
        <item h="1" x="0"/>
        <item h="1" x="2"/>
        <item h="1" x="3"/>
        <item h="1" x="4"/>
        <item x="1"/>
        <item t="default"/>
      </items>
    </pivotField>
    <pivotField showAll="0"/>
    <pivotField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Items count="1">
    <i/>
  </rowItems>
  <colItems count="1">
    <i/>
  </colItems>
  <pageFields count="2">
    <pageField fld="16" hier="-1"/>
    <pageField fld="6" hier="-1"/>
  </pageFields>
  <dataFields count="1">
    <dataField name="Count of Transaction ID" fld="0" subtotal="count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989D9-2262-4D13-AA76-9400F427860D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9" firstHeaderRow="1" firstDataRow="1" firstDataCol="1" rowPageCount="1" colPageCount="1"/>
  <pivotFields count="17"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Fields count="1">
    <field x="6"/>
  </rowFields>
  <rowItems count="6">
    <i>
      <x v="3"/>
    </i>
    <i>
      <x/>
    </i>
    <i>
      <x v="1"/>
    </i>
    <i>
      <x v="4"/>
    </i>
    <i>
      <x v="2"/>
    </i>
    <i t="grand">
      <x/>
    </i>
  </rowItems>
  <colItems count="1">
    <i/>
  </colItems>
  <pageFields count="1">
    <pageField fld="16" hier="-1"/>
  </pageFields>
  <dataFields count="1">
    <dataField name="Sum of Order Value" fld="11" baseField="9" baseItem="0" numFmtId="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4EC54-B265-4E0F-9B31-CAF133235B35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:D7" firstHeaderRow="1" firstDataRow="1" firstDataCol="0" rowPageCount="2" colPageCount="1"/>
  <pivotFields count="17">
    <pivotField dataField="1" showAll="0">
      <items count="8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h="1" x="2"/>
        <item h="1" x="3"/>
        <item h="1" x="4"/>
        <item x="1"/>
        <item t="default"/>
      </items>
    </pivotField>
    <pivotField showAll="0"/>
    <pivotField showAll="0">
      <items count="810">
        <item x="289"/>
        <item x="400"/>
        <item x="605"/>
        <item x="229"/>
        <item x="472"/>
        <item x="674"/>
        <item x="757"/>
        <item x="277"/>
        <item x="217"/>
        <item x="557"/>
        <item x="233"/>
        <item x="598"/>
        <item x="297"/>
        <item x="322"/>
        <item x="106"/>
        <item x="604"/>
        <item x="399"/>
        <item x="207"/>
        <item x="36"/>
        <item x="782"/>
        <item x="673"/>
        <item x="31"/>
        <item x="544"/>
        <item x="412"/>
        <item x="736"/>
        <item x="159"/>
        <item x="358"/>
        <item x="581"/>
        <item x="740"/>
        <item x="6"/>
        <item x="140"/>
        <item x="487"/>
        <item x="595"/>
        <item x="467"/>
        <item x="431"/>
        <item x="528"/>
        <item x="77"/>
        <item x="405"/>
        <item x="719"/>
        <item x="363"/>
        <item x="737"/>
        <item x="507"/>
        <item x="693"/>
        <item x="751"/>
        <item x="117"/>
        <item x="520"/>
        <item x="610"/>
        <item x="429"/>
        <item x="537"/>
        <item x="668"/>
        <item x="53"/>
        <item x="694"/>
        <item x="338"/>
        <item x="215"/>
        <item x="628"/>
        <item x="9"/>
        <item x="173"/>
        <item x="28"/>
        <item x="767"/>
        <item x="663"/>
        <item x="118"/>
        <item x="741"/>
        <item x="61"/>
        <item x="102"/>
        <item x="463"/>
        <item x="386"/>
        <item x="778"/>
        <item x="660"/>
        <item x="377"/>
        <item x="646"/>
        <item x="642"/>
        <item x="779"/>
        <item x="90"/>
        <item x="722"/>
        <item x="235"/>
        <item x="643"/>
        <item x="145"/>
        <item x="1"/>
        <item x="439"/>
        <item x="497"/>
        <item x="700"/>
        <item x="420"/>
        <item x="165"/>
        <item x="772"/>
        <item x="11"/>
        <item x="671"/>
        <item x="570"/>
        <item x="197"/>
        <item x="367"/>
        <item x="147"/>
        <item x="704"/>
        <item x="666"/>
        <item x="619"/>
        <item x="168"/>
        <item x="50"/>
        <item x="41"/>
        <item x="7"/>
        <item x="96"/>
        <item x="571"/>
        <item x="202"/>
        <item x="584"/>
        <item x="701"/>
        <item x="635"/>
        <item x="360"/>
        <item x="320"/>
        <item x="154"/>
        <item x="425"/>
        <item x="446"/>
        <item x="227"/>
        <item x="728"/>
        <item x="8"/>
        <item x="238"/>
        <item x="78"/>
        <item x="380"/>
        <item x="488"/>
        <item x="385"/>
        <item x="126"/>
        <item x="184"/>
        <item x="326"/>
        <item x="122"/>
        <item x="743"/>
        <item x="23"/>
        <item x="589"/>
        <item x="790"/>
        <item x="271"/>
        <item x="656"/>
        <item x="341"/>
        <item x="359"/>
        <item x="753"/>
        <item x="648"/>
        <item x="256"/>
        <item x="423"/>
        <item x="606"/>
        <item x="413"/>
        <item x="521"/>
        <item x="328"/>
        <item x="177"/>
        <item x="167"/>
        <item x="278"/>
        <item x="47"/>
        <item x="252"/>
        <item x="308"/>
        <item x="349"/>
        <item x="430"/>
        <item x="201"/>
        <item x="319"/>
        <item x="419"/>
        <item x="760"/>
        <item x="531"/>
        <item x="325"/>
        <item x="731"/>
        <item x="582"/>
        <item x="696"/>
        <item x="460"/>
        <item x="627"/>
        <item x="228"/>
        <item x="119"/>
        <item x="38"/>
        <item x="745"/>
        <item x="275"/>
        <item x="347"/>
        <item x="368"/>
        <item x="285"/>
        <item x="799"/>
        <item x="240"/>
        <item x="533"/>
        <item x="109"/>
        <item x="502"/>
        <item x="294"/>
        <item x="468"/>
        <item x="292"/>
        <item x="558"/>
        <item x="749"/>
        <item x="411"/>
        <item x="435"/>
        <item x="247"/>
        <item x="549"/>
        <item x="213"/>
        <item x="224"/>
        <item x="148"/>
        <item x="283"/>
        <item x="245"/>
        <item x="18"/>
        <item x="434"/>
        <item x="447"/>
        <item x="712"/>
        <item x="56"/>
        <item x="191"/>
        <item x="483"/>
        <item x="98"/>
        <item x="443"/>
        <item x="138"/>
        <item x="153"/>
        <item x="461"/>
        <item x="688"/>
        <item x="305"/>
        <item x="251"/>
        <item x="188"/>
        <item x="698"/>
        <item x="376"/>
        <item x="415"/>
        <item x="580"/>
        <item x="130"/>
        <item x="524"/>
        <item x="791"/>
        <item x="390"/>
        <item x="136"/>
        <item x="175"/>
        <item x="621"/>
        <item x="269"/>
        <item x="716"/>
        <item x="239"/>
        <item x="464"/>
        <item x="263"/>
        <item x="744"/>
        <item x="108"/>
        <item x="609"/>
        <item x="802"/>
        <item x="398"/>
        <item x="800"/>
        <item x="226"/>
        <item x="65"/>
        <item x="13"/>
        <item x="286"/>
        <item x="707"/>
        <item x="690"/>
        <item x="499"/>
        <item x="248"/>
        <item x="670"/>
        <item x="410"/>
        <item x="205"/>
        <item x="94"/>
        <item x="577"/>
        <item x="653"/>
        <item x="409"/>
        <item x="724"/>
        <item x="565"/>
        <item x="795"/>
        <item x="711"/>
        <item x="249"/>
        <item x="127"/>
        <item x="75"/>
        <item x="17"/>
        <item x="492"/>
        <item x="602"/>
        <item x="19"/>
        <item x="97"/>
        <item x="804"/>
        <item x="345"/>
        <item x="220"/>
        <item x="81"/>
        <item x="58"/>
        <item x="2"/>
        <item x="546"/>
        <item x="378"/>
        <item x="204"/>
        <item x="298"/>
        <item x="211"/>
        <item x="259"/>
        <item x="16"/>
        <item x="552"/>
        <item x="396"/>
        <item x="555"/>
        <item x="792"/>
        <item x="508"/>
        <item x="445"/>
        <item x="505"/>
        <item x="496"/>
        <item x="92"/>
        <item x="629"/>
        <item x="144"/>
        <item x="569"/>
        <item x="231"/>
        <item x="649"/>
        <item x="270"/>
        <item x="440"/>
        <item x="303"/>
        <item x="513"/>
        <item x="661"/>
        <item x="230"/>
        <item x="383"/>
        <item x="261"/>
        <item x="777"/>
        <item x="141"/>
        <item x="634"/>
        <item x="156"/>
        <item x="620"/>
        <item x="471"/>
        <item x="762"/>
        <item x="162"/>
        <item x="567"/>
        <item x="511"/>
        <item x="587"/>
        <item x="592"/>
        <item x="594"/>
        <item x="293"/>
        <item x="214"/>
        <item x="485"/>
        <item x="183"/>
        <item x="437"/>
        <item x="120"/>
        <item x="662"/>
        <item x="258"/>
        <item x="543"/>
        <item x="157"/>
        <item x="299"/>
        <item x="495"/>
        <item x="105"/>
        <item x="452"/>
        <item x="64"/>
        <item x="209"/>
        <item x="503"/>
        <item x="42"/>
        <item x="381"/>
        <item x="441"/>
        <item x="71"/>
        <item x="246"/>
        <item x="176"/>
        <item x="316"/>
        <item x="808"/>
        <item x="783"/>
        <item x="615"/>
        <item x="37"/>
        <item x="469"/>
        <item x="243"/>
        <item x="318"/>
        <item x="274"/>
        <item x="607"/>
        <item x="45"/>
        <item x="617"/>
        <item x="650"/>
        <item x="678"/>
        <item x="632"/>
        <item x="732"/>
        <item x="529"/>
        <item x="455"/>
        <item x="576"/>
        <item x="763"/>
        <item x="186"/>
        <item x="449"/>
        <item x="473"/>
        <item x="86"/>
        <item x="129"/>
        <item x="525"/>
        <item x="146"/>
        <item x="714"/>
        <item x="433"/>
        <item x="692"/>
        <item x="379"/>
        <item x="384"/>
        <item x="352"/>
        <item x="67"/>
        <item x="637"/>
        <item x="93"/>
        <item x="775"/>
        <item x="796"/>
        <item x="734"/>
        <item x="647"/>
        <item x="219"/>
        <item x="600"/>
        <item x="574"/>
        <item x="279"/>
        <item x="702"/>
        <item x="625"/>
        <item x="39"/>
        <item x="103"/>
        <item x="362"/>
        <item x="623"/>
        <item x="68"/>
        <item x="128"/>
        <item x="355"/>
        <item x="79"/>
        <item x="428"/>
        <item x="402"/>
        <item x="667"/>
        <item x="84"/>
        <item x="458"/>
        <item x="89"/>
        <item x="764"/>
        <item x="388"/>
        <item x="781"/>
        <item x="66"/>
        <item x="306"/>
        <item x="389"/>
        <item x="793"/>
        <item x="664"/>
        <item x="717"/>
        <item x="150"/>
        <item x="200"/>
        <item x="340"/>
        <item x="160"/>
        <item x="444"/>
        <item x="542"/>
        <item x="500"/>
        <item x="509"/>
        <item x="210"/>
        <item x="48"/>
        <item x="466"/>
        <item x="49"/>
        <item x="365"/>
        <item x="729"/>
        <item x="310"/>
        <item x="267"/>
        <item x="250"/>
        <item x="718"/>
        <item x="482"/>
        <item x="414"/>
        <item x="373"/>
        <item x="465"/>
        <item x="530"/>
        <item x="422"/>
        <item x="442"/>
        <item x="672"/>
        <item x="198"/>
        <item x="44"/>
        <item x="562"/>
        <item x="135"/>
        <item x="295"/>
        <item x="426"/>
        <item x="436"/>
        <item x="601"/>
        <item x="756"/>
        <item x="180"/>
        <item x="563"/>
        <item x="774"/>
        <item x="332"/>
        <item x="69"/>
        <item x="572"/>
        <item x="750"/>
        <item x="221"/>
        <item x="523"/>
        <item x="608"/>
        <item x="540"/>
        <item x="254"/>
        <item x="417"/>
        <item x="564"/>
        <item x="541"/>
        <item x="26"/>
        <item x="645"/>
        <item x="748"/>
        <item x="614"/>
        <item x="514"/>
        <item x="73"/>
        <item x="206"/>
        <item x="705"/>
        <item x="586"/>
        <item x="369"/>
        <item x="124"/>
        <item x="579"/>
        <item x="112"/>
        <item x="264"/>
        <item x="343"/>
        <item x="477"/>
        <item x="527"/>
        <item x="421"/>
        <item x="658"/>
        <item x="491"/>
        <item x="237"/>
        <item x="710"/>
        <item x="721"/>
        <item x="418"/>
        <item x="794"/>
        <item x="22"/>
        <item x="539"/>
        <item x="203"/>
        <item x="585"/>
        <item x="807"/>
        <item x="590"/>
        <item x="408"/>
        <item x="685"/>
        <item x="603"/>
        <item x="76"/>
        <item x="242"/>
        <item x="163"/>
        <item x="121"/>
        <item x="311"/>
        <item x="185"/>
        <item x="321"/>
        <item x="654"/>
        <item x="536"/>
        <item x="330"/>
        <item x="114"/>
        <item x="60"/>
        <item x="560"/>
        <item x="190"/>
        <item x="697"/>
        <item x="770"/>
        <item x="100"/>
        <item x="561"/>
        <item x="152"/>
        <item x="15"/>
        <item x="630"/>
        <item x="703"/>
        <item x="676"/>
        <item x="742"/>
        <item x="504"/>
        <item x="773"/>
        <item x="137"/>
        <item x="336"/>
        <item x="752"/>
        <item x="57"/>
        <item x="40"/>
        <item x="34"/>
        <item x="550"/>
        <item x="314"/>
        <item x="342"/>
        <item x="327"/>
        <item x="723"/>
        <item x="597"/>
        <item x="788"/>
        <item x="187"/>
        <item x="480"/>
        <item x="624"/>
        <item x="616"/>
        <item x="679"/>
        <item x="655"/>
        <item x="789"/>
        <item x="12"/>
        <item x="312"/>
        <item x="24"/>
        <item x="87"/>
        <item x="669"/>
        <item x="805"/>
        <item x="178"/>
        <item x="651"/>
        <item x="182"/>
        <item x="223"/>
        <item x="72"/>
        <item x="451"/>
        <item x="583"/>
        <item x="174"/>
        <item x="266"/>
        <item x="80"/>
        <item x="786"/>
        <item x="232"/>
        <item x="179"/>
        <item x="787"/>
        <item x="43"/>
        <item x="566"/>
        <item x="244"/>
        <item x="287"/>
        <item x="596"/>
        <item x="453"/>
        <item x="735"/>
        <item x="633"/>
        <item x="241"/>
        <item x="636"/>
        <item x="225"/>
        <item x="309"/>
        <item x="517"/>
        <item x="699"/>
        <item x="677"/>
        <item x="733"/>
        <item x="591"/>
        <item x="192"/>
        <item x="484"/>
        <item x="708"/>
        <item x="353"/>
        <item x="55"/>
        <item x="110"/>
        <item x="474"/>
        <item x="730"/>
        <item x="104"/>
        <item x="304"/>
        <item x="281"/>
        <item x="107"/>
        <item x="797"/>
        <item x="151"/>
        <item x="302"/>
        <item x="665"/>
        <item x="85"/>
        <item x="568"/>
        <item x="111"/>
        <item x="166"/>
        <item x="63"/>
        <item x="132"/>
        <item x="5"/>
        <item x="265"/>
        <item x="573"/>
        <item x="747"/>
        <item x="300"/>
        <item x="457"/>
        <item x="139"/>
        <item x="687"/>
        <item x="754"/>
        <item x="131"/>
        <item x="351"/>
        <item x="123"/>
        <item x="27"/>
        <item x="143"/>
        <item x="727"/>
        <item x="374"/>
        <item x="25"/>
        <item x="450"/>
        <item x="510"/>
        <item x="578"/>
        <item x="133"/>
        <item x="691"/>
        <item x="32"/>
        <item x="14"/>
        <item x="350"/>
        <item x="618"/>
        <item x="371"/>
        <item x="262"/>
        <item x="99"/>
        <item x="323"/>
        <item x="366"/>
        <item x="272"/>
        <item x="534"/>
        <item x="324"/>
        <item x="475"/>
        <item x="273"/>
        <item x="498"/>
        <item x="288"/>
        <item x="3"/>
        <item x="432"/>
        <item x="339"/>
        <item x="395"/>
        <item x="83"/>
        <item x="401"/>
        <item x="199"/>
        <item x="739"/>
        <item x="769"/>
        <item x="337"/>
        <item x="284"/>
        <item x="82"/>
        <item x="784"/>
        <item x="113"/>
        <item x="101"/>
        <item x="348"/>
        <item x="622"/>
        <item x="164"/>
        <item x="280"/>
        <item x="448"/>
        <item x="638"/>
        <item x="404"/>
        <item x="333"/>
        <item x="785"/>
        <item x="556"/>
        <item x="142"/>
        <item x="169"/>
        <item x="255"/>
        <item x="686"/>
        <item x="313"/>
        <item x="657"/>
        <item x="344"/>
        <item x="681"/>
        <item x="372"/>
        <item x="95"/>
        <item x="611"/>
        <item x="462"/>
        <item x="382"/>
        <item x="375"/>
        <item x="535"/>
        <item x="0"/>
        <item x="134"/>
        <item x="776"/>
        <item x="407"/>
        <item x="329"/>
        <item x="706"/>
        <item x="512"/>
        <item x="172"/>
        <item x="575"/>
        <item x="4"/>
        <item x="181"/>
        <item x="526"/>
        <item x="554"/>
        <item x="29"/>
        <item x="234"/>
        <item x="424"/>
        <item x="391"/>
        <item x="765"/>
        <item x="196"/>
        <item x="501"/>
        <item x="545"/>
        <item x="641"/>
        <item x="713"/>
        <item x="675"/>
        <item x="766"/>
        <item x="10"/>
        <item x="21"/>
        <item x="768"/>
        <item x="307"/>
        <item x="212"/>
        <item x="709"/>
        <item x="684"/>
        <item x="493"/>
        <item x="54"/>
        <item x="476"/>
        <item x="746"/>
        <item x="516"/>
        <item x="260"/>
        <item x="644"/>
        <item x="715"/>
        <item x="290"/>
        <item x="46"/>
        <item x="689"/>
        <item x="588"/>
        <item x="30"/>
        <item x="758"/>
        <item x="538"/>
        <item x="387"/>
        <item x="116"/>
        <item x="551"/>
        <item x="626"/>
        <item x="315"/>
        <item x="331"/>
        <item x="427"/>
        <item x="726"/>
        <item x="346"/>
        <item x="506"/>
        <item x="553"/>
        <item x="35"/>
        <item x="518"/>
        <item x="522"/>
        <item x="532"/>
        <item x="171"/>
        <item x="20"/>
        <item x="296"/>
        <item x="334"/>
        <item x="208"/>
        <item x="189"/>
        <item x="459"/>
        <item x="253"/>
        <item x="806"/>
        <item x="354"/>
        <item x="682"/>
        <item x="639"/>
        <item x="394"/>
        <item x="51"/>
        <item x="470"/>
        <item x="489"/>
        <item x="798"/>
        <item x="194"/>
        <item x="454"/>
        <item x="416"/>
        <item x="70"/>
        <item x="392"/>
        <item x="291"/>
        <item x="547"/>
        <item x="88"/>
        <item x="62"/>
        <item x="268"/>
        <item x="161"/>
        <item x="486"/>
        <item x="593"/>
        <item x="301"/>
        <item x="257"/>
        <item x="149"/>
        <item x="456"/>
        <item x="216"/>
        <item x="479"/>
        <item x="170"/>
        <item x="659"/>
        <item x="406"/>
        <item x="613"/>
        <item x="356"/>
        <item x="393"/>
        <item x="52"/>
        <item x="631"/>
        <item x="218"/>
        <item x="612"/>
        <item x="282"/>
        <item x="364"/>
        <item x="803"/>
        <item x="695"/>
        <item x="193"/>
        <item x="481"/>
        <item x="125"/>
        <item x="403"/>
        <item x="725"/>
        <item x="771"/>
        <item x="335"/>
        <item x="91"/>
        <item x="370"/>
        <item x="222"/>
        <item x="759"/>
        <item x="738"/>
        <item x="683"/>
        <item x="652"/>
        <item x="494"/>
        <item x="548"/>
        <item x="515"/>
        <item x="755"/>
        <item x="158"/>
        <item x="490"/>
        <item x="780"/>
        <item x="361"/>
        <item x="357"/>
        <item x="599"/>
        <item x="478"/>
        <item x="761"/>
        <item x="74"/>
        <item x="680"/>
        <item x="640"/>
        <item x="801"/>
        <item x="559"/>
        <item x="438"/>
        <item x="276"/>
        <item x="155"/>
        <item x="397"/>
        <item x="236"/>
        <item x="195"/>
        <item x="33"/>
        <item x="317"/>
        <item x="519"/>
        <item x="720"/>
        <item x="115"/>
        <item x="5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6">
        <item x="0"/>
        <item h="1" x="12"/>
        <item h="1" x="2"/>
        <item h="1" x="7"/>
        <item h="1" x="8"/>
        <item h="1" x="9"/>
        <item h="1" x="10"/>
        <item h="1" x="11"/>
        <item h="1" x="5"/>
        <item h="1" x="3"/>
        <item h="1" x="14"/>
        <item h="1" x="6"/>
        <item h="1" x="13"/>
        <item h="1" x="1"/>
        <item h="1" x="4"/>
        <item t="default"/>
      </items>
    </pivotField>
  </pivotFields>
  <rowItems count="1">
    <i/>
  </rowItems>
  <colItems count="1">
    <i/>
  </colItems>
  <pageFields count="2">
    <pageField fld="16" hier="-1"/>
    <pageField fld="9" hier="-1"/>
  </pageFields>
  <dataFields count="1">
    <dataField name="Count of Transaction ID" fld="0" subtotal="count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A5460DA2-7636-499D-B05C-A45063FF726F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Customer Name" tableColumnId="3"/>
      <queryTableField id="4" name="Order Date" tableColumnId="4"/>
      <queryTableField id="5" name="Region" tableColumnId="5"/>
      <queryTableField id="6" name="Customer Segment" tableColumnId="6"/>
      <queryTableField id="7" name="Acquisition Channel" tableColumnId="7"/>
      <queryTableField id="8" name="Product Category" tableColumnId="8"/>
      <queryTableField id="9" name="Items Purchased" tableColumnId="9"/>
      <queryTableField id="10" name="Order Value" tableColumnId="10"/>
      <queryTableField id="11" name="Shipping Fee" tableColumnId="11"/>
      <queryTableField id="12" name="Delivery Status" tableColumnId="12"/>
      <queryTableField id="13" name="Satisfaction" tableColumnId="13"/>
      <queryTableField id="14" name="Used Prom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6" xr16:uid="{613B5FF9-1D60-42C4-9765-8DDDFA14BDD3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 ID" tableColumnId="1"/>
      <queryTableField id="2" name="Customer ID" tableColumnId="2"/>
      <queryTableField id="3" name="Customer Name" tableColumnId="3"/>
      <queryTableField id="4" name="Order Date" tableColumnId="4"/>
      <queryTableField id="5" name="Month Name" tableColumnId="5"/>
      <queryTableField id="6" name="Region" tableColumnId="6"/>
      <queryTableField id="7" name="Verified Region" tableColumnId="7"/>
      <queryTableField id="8" name="Customer Segment" tableColumnId="8"/>
      <queryTableField id="9" name="Acquisition Channel" tableColumnId="9"/>
      <queryTableField id="10" name="Product Category" tableColumnId="10"/>
      <queryTableField id="11" name="Items Purchased" tableColumnId="11"/>
      <queryTableField id="12" name="Order Value" tableColumnId="12"/>
      <queryTableField id="13" name="Shipping Fee" tableColumnId="13"/>
      <queryTableField id="14" name="Delivery Status" tableColumnId="14"/>
      <queryTableField id="15" name="Satisfaction" tableColumnId="15"/>
      <queryTableField id="16" name="Used Promo" tableColumnId="16"/>
      <queryTableField id="17" name="Column2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748FCF-F941-4D4D-BF54-86885CED9E82}" name="CustomerOrdersRaw" displayName="CustomerOrdersRaw" ref="A6:N831" tableType="queryTable" totalsRowShown="0">
  <autoFilter ref="A6:N831" xr:uid="{1A748FCF-F941-4D4D-BF54-86885CED9E82}"/>
  <tableColumns count="14">
    <tableColumn id="1" xr3:uid="{7DDC7BCA-D416-4FCE-A884-958F2898A8E8}" uniqueName="1" name="Transaction ID" queryTableFieldId="1" dataDxfId="32"/>
    <tableColumn id="2" xr3:uid="{177E3DFD-F4B2-40E9-90EC-3EFA38679C9E}" uniqueName="2" name="Customer ID" queryTableFieldId="2" dataDxfId="31"/>
    <tableColumn id="3" xr3:uid="{3D3A7D1E-EC3B-48E5-81E1-DC74DF848E0E}" uniqueName="3" name="Customer Name" queryTableFieldId="3" dataDxfId="30"/>
    <tableColumn id="4" xr3:uid="{80FE4CF0-5A4B-4DAA-98DD-C60558E57862}" uniqueName="4" name="Order Date" queryTableFieldId="4"/>
    <tableColumn id="5" xr3:uid="{A0574FC5-2780-4580-AA21-C5C447A0B296}" uniqueName="5" name="Region" queryTableFieldId="5" dataDxfId="29"/>
    <tableColumn id="6" xr3:uid="{4DD4DA84-2183-4E45-A9AF-D579EB0E3599}" uniqueName="6" name="Customer Segment" queryTableFieldId="6" dataDxfId="28"/>
    <tableColumn id="7" xr3:uid="{203D4BD4-C9D9-4B0A-AAFF-1074D3C12597}" uniqueName="7" name="Acquisition Channel" queryTableFieldId="7" dataDxfId="27"/>
    <tableColumn id="8" xr3:uid="{09ABE416-E1C0-4550-873C-A7D4453E0FB5}" uniqueName="8" name="Product Category" queryTableFieldId="8" dataDxfId="26"/>
    <tableColumn id="9" xr3:uid="{650C2FBA-8EDE-44CE-9F8F-40EF1B1144D5}" uniqueName="9" name="Items Purchased" queryTableFieldId="9"/>
    <tableColumn id="10" xr3:uid="{065D882A-9958-4FB5-BC03-D4607464EE55}" uniqueName="10" name="Order Value" queryTableFieldId="10"/>
    <tableColumn id="11" xr3:uid="{A43A0029-BBA5-46A2-9E7A-ED0FB0C71077}" uniqueName="11" name="Shipping Fee" queryTableFieldId="11"/>
    <tableColumn id="12" xr3:uid="{82F6573C-462E-443A-9BA0-B32151EDAA88}" uniqueName="12" name="Delivery Status" queryTableFieldId="12" dataDxfId="25"/>
    <tableColumn id="13" xr3:uid="{8B467D0B-9565-417E-ACF5-D7CAC69A4E7C}" uniqueName="13" name="Satisfaction" queryTableFieldId="13" dataDxfId="24"/>
    <tableColumn id="14" xr3:uid="{4A1EDC4C-8EA2-4C4E-9F68-3A36AE47F914}" uniqueName="14" name="Used Promo" queryTableFieldId="1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1E326A-D159-4D80-8BA1-0556A3554A91}" name="Sheet2" displayName="Sheet2" ref="A6:Q831" tableType="queryTable" totalsRowShown="0">
  <autoFilter ref="A6:Q831" xr:uid="{3B1E326A-D159-4D80-8BA1-0556A3554A91}"/>
  <tableColumns count="17">
    <tableColumn id="1" xr3:uid="{799B98A0-CFF6-4D87-AA3D-822868022CE1}" uniqueName="1" name="Transaction ID" queryTableFieldId="1" dataDxfId="22"/>
    <tableColumn id="2" xr3:uid="{D3479022-916D-460A-98AF-5A8E78376EFC}" uniqueName="2" name="Customer ID" queryTableFieldId="2" dataDxfId="21"/>
    <tableColumn id="3" xr3:uid="{EDE31A42-E75B-4242-9614-EF4D2884A3C5}" uniqueName="3" name="Customer Name" queryTableFieldId="3" dataDxfId="20"/>
    <tableColumn id="4" xr3:uid="{E6077225-D2A2-4204-A9A6-49CF8054269E}" uniqueName="4" name="Order Date" queryTableFieldId="4" dataDxfId="19"/>
    <tableColumn id="5" xr3:uid="{02DA924D-442F-46F5-B930-3C3D684D483A}" uniqueName="5" name="Month Name" queryTableFieldId="5" dataDxfId="18"/>
    <tableColumn id="6" xr3:uid="{0C3157FA-7D1A-4C62-A05B-2754D0A2709A}" uniqueName="6" name="Region" queryTableFieldId="6" dataDxfId="17"/>
    <tableColumn id="7" xr3:uid="{F1DCBCE4-D312-4D9D-9624-9E0C26855D53}" uniqueName="7" name="Verified Region" queryTableFieldId="7"/>
    <tableColumn id="8" xr3:uid="{ECD05BF1-FBF7-4510-B27A-F861D045CC37}" uniqueName="8" name="Customer Segment" queryTableFieldId="8" dataDxfId="16"/>
    <tableColumn id="9" xr3:uid="{2786D3AF-EC66-4C41-B326-74D11BA96DC2}" uniqueName="9" name="Acquisition Channel" queryTableFieldId="9" dataDxfId="15"/>
    <tableColumn id="10" xr3:uid="{16D5731B-AB5B-4C3D-8A56-35206D1DCCBD}" uniqueName="10" name="Product Category" queryTableFieldId="10" dataDxfId="14"/>
    <tableColumn id="11" xr3:uid="{82A76F92-AFF8-47CD-87C5-AC44699F4440}" uniqueName="11" name="Items Purchased" queryTableFieldId="11"/>
    <tableColumn id="12" xr3:uid="{12E39B3C-37A5-43BF-91D9-0D02277A8B72}" uniqueName="12" name="Order Value" queryTableFieldId="12"/>
    <tableColumn id="13" xr3:uid="{C9008B93-D8BB-4E92-9D7A-1319663FB193}" uniqueName="13" name="Shipping Fee" queryTableFieldId="13"/>
    <tableColumn id="14" xr3:uid="{D0173A50-EB27-4887-8367-977B1FC27A00}" uniqueName="14" name="Delivery Status" queryTableFieldId="14" dataDxfId="13"/>
    <tableColumn id="15" xr3:uid="{3F5EE35F-8B7E-4166-AAA0-3BEF1DD1BF35}" uniqueName="15" name="Satisfaction" queryTableFieldId="15" dataDxfId="12"/>
    <tableColumn id="16" xr3:uid="{486885D5-AE7F-408E-B7AB-7244749BDC70}" uniqueName="16" name="Used Promo" queryTableFieldId="16" dataDxfId="11"/>
    <tableColumn id="17" xr3:uid="{48B5A5BE-A107-415E-9F70-1BB525DEA9E5}" uniqueName="17" name="Quality Check" queryTableFieldId="17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tySummary" displayName="QualitySummary" ref="A5:B20">
  <autoFilter ref="A5:B20" xr:uid="{00000000-0009-0000-0100-000002000000}"/>
  <tableColumns count="2">
    <tableColumn id="1" xr3:uid="{00000000-0010-0000-0100-000001000000}" name="Quality check" dataDxfId="2"/>
    <tableColumn id="2" xr3:uid="{00000000-0010-0000-0100-000002000000}" name="Row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activeCell="A5" sqref="A5"/>
    </sheetView>
  </sheetViews>
  <sheetFormatPr defaultColWidth="8.85546875" defaultRowHeight="15" x14ac:dyDescent="0.25"/>
  <cols>
    <col min="1" max="1" width="24" customWidth="1"/>
    <col min="2" max="2" width="98" customWidth="1"/>
  </cols>
  <sheetData>
    <row r="1" spans="1:8" ht="30" customHeight="1" x14ac:dyDescent="0.25">
      <c r="A1" s="21" t="s">
        <v>1344</v>
      </c>
      <c r="B1" s="20"/>
      <c r="C1" s="20"/>
      <c r="D1" s="20"/>
      <c r="E1" s="20"/>
      <c r="F1" s="20"/>
      <c r="G1" s="20"/>
      <c r="H1" s="20"/>
    </row>
    <row r="2" spans="1:8" x14ac:dyDescent="0.25">
      <c r="A2" s="19" t="s">
        <v>0</v>
      </c>
      <c r="B2" s="20"/>
      <c r="C2" s="20"/>
      <c r="D2" s="20"/>
      <c r="E2" s="20"/>
      <c r="F2" s="20"/>
      <c r="G2" s="20"/>
      <c r="H2" s="20"/>
    </row>
    <row r="5" spans="1:8" x14ac:dyDescent="0.25">
      <c r="A5" s="1" t="s">
        <v>1</v>
      </c>
      <c r="B5" s="1" t="s">
        <v>2</v>
      </c>
    </row>
    <row r="6" spans="1:8" x14ac:dyDescent="0.25">
      <c r="A6" s="2" t="s">
        <v>3</v>
      </c>
      <c r="B6" s="16" t="s">
        <v>1343</v>
      </c>
    </row>
    <row r="7" spans="1:8" x14ac:dyDescent="0.25">
      <c r="A7" s="2" t="s">
        <v>4</v>
      </c>
      <c r="B7" s="16" t="s">
        <v>1342</v>
      </c>
    </row>
    <row r="8" spans="1:8" x14ac:dyDescent="0.25">
      <c r="A8" s="2" t="s">
        <v>5</v>
      </c>
      <c r="B8" s="3" t="s">
        <v>6</v>
      </c>
    </row>
    <row r="9" spans="1:8" ht="27" x14ac:dyDescent="0.25">
      <c r="A9" s="2" t="s">
        <v>7</v>
      </c>
      <c r="B9" s="16" t="s">
        <v>1341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82B3-846B-4474-B891-D3396C2618DB}">
  <dimension ref="A1:N831"/>
  <sheetViews>
    <sheetView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7.7109375" bestFit="1" customWidth="1"/>
    <col min="4" max="4" width="13" bestFit="1" customWidth="1"/>
    <col min="5" max="5" width="9.42578125" bestFit="1" customWidth="1"/>
    <col min="6" max="6" width="21.85546875" bestFit="1" customWidth="1"/>
    <col min="7" max="7" width="21.28515625" bestFit="1" customWidth="1"/>
    <col min="8" max="8" width="18.5703125" bestFit="1" customWidth="1"/>
    <col min="9" max="9" width="18" bestFit="1" customWidth="1"/>
    <col min="10" max="10" width="14" bestFit="1" customWidth="1"/>
    <col min="11" max="11" width="14.7109375" bestFit="1" customWidth="1"/>
    <col min="12" max="12" width="16.7109375" bestFit="1" customWidth="1"/>
    <col min="13" max="13" width="14.7109375" bestFit="1" customWidth="1"/>
    <col min="14" max="14" width="14.140625" bestFit="1" customWidth="1"/>
  </cols>
  <sheetData>
    <row r="1" spans="1:14" x14ac:dyDescent="0.25">
      <c r="A1" s="22" t="s">
        <v>1416</v>
      </c>
      <c r="B1" s="22"/>
      <c r="C1" s="22"/>
      <c r="D1" s="22"/>
      <c r="E1" s="22"/>
      <c r="F1" s="22"/>
      <c r="G1" s="22"/>
      <c r="H1" s="22"/>
    </row>
    <row r="2" spans="1:14" x14ac:dyDescent="0.25">
      <c r="A2" s="22"/>
      <c r="B2" s="22"/>
      <c r="C2" s="22"/>
      <c r="D2" s="22"/>
      <c r="E2" s="22"/>
      <c r="F2" s="22"/>
      <c r="G2" s="22"/>
      <c r="H2" s="22"/>
    </row>
    <row r="3" spans="1:14" x14ac:dyDescent="0.25">
      <c r="A3" s="23" t="s">
        <v>1417</v>
      </c>
      <c r="B3" s="23"/>
      <c r="C3" s="23"/>
      <c r="D3" s="23"/>
      <c r="E3" s="23"/>
      <c r="F3" s="23"/>
      <c r="G3" s="23"/>
      <c r="H3" s="23"/>
    </row>
    <row r="6" spans="1:14" x14ac:dyDescent="0.25">
      <c r="A6" t="s">
        <v>122</v>
      </c>
      <c r="B6" t="s">
        <v>123</v>
      </c>
      <c r="C6" t="s">
        <v>10</v>
      </c>
      <c r="D6" t="s">
        <v>8</v>
      </c>
      <c r="E6" t="s">
        <v>11</v>
      </c>
      <c r="F6" t="s">
        <v>124</v>
      </c>
      <c r="G6" t="s">
        <v>125</v>
      </c>
      <c r="H6" t="s">
        <v>126</v>
      </c>
      <c r="I6" t="s">
        <v>127</v>
      </c>
      <c r="J6" t="s">
        <v>128</v>
      </c>
      <c r="K6" t="s">
        <v>129</v>
      </c>
      <c r="L6" t="s">
        <v>130</v>
      </c>
      <c r="M6" t="s">
        <v>131</v>
      </c>
      <c r="N6" t="s">
        <v>132</v>
      </c>
    </row>
    <row r="7" spans="1:14" x14ac:dyDescent="0.25">
      <c r="A7" t="s">
        <v>133</v>
      </c>
      <c r="B7" t="s">
        <v>134</v>
      </c>
      <c r="C7" t="s">
        <v>135</v>
      </c>
      <c r="D7">
        <v>46179</v>
      </c>
      <c r="E7" t="s">
        <v>18</v>
      </c>
      <c r="F7" t="s">
        <v>1346</v>
      </c>
      <c r="G7" t="s">
        <v>136</v>
      </c>
      <c r="H7" t="s">
        <v>29</v>
      </c>
      <c r="I7">
        <v>4</v>
      </c>
      <c r="J7">
        <v>2028370</v>
      </c>
      <c r="K7">
        <v>15000</v>
      </c>
      <c r="L7" t="s">
        <v>137</v>
      </c>
      <c r="M7" t="s">
        <v>138</v>
      </c>
      <c r="N7" t="s">
        <v>139</v>
      </c>
    </row>
    <row r="8" spans="1:14" x14ac:dyDescent="0.25">
      <c r="A8" t="s">
        <v>140</v>
      </c>
      <c r="B8" t="s">
        <v>141</v>
      </c>
      <c r="C8" t="s">
        <v>142</v>
      </c>
      <c r="D8">
        <v>46031</v>
      </c>
      <c r="E8" t="s">
        <v>31</v>
      </c>
      <c r="F8" t="s">
        <v>143</v>
      </c>
      <c r="G8" t="s">
        <v>136</v>
      </c>
      <c r="H8" t="s">
        <v>29</v>
      </c>
      <c r="I8">
        <v>2</v>
      </c>
      <c r="J8">
        <v>370197</v>
      </c>
      <c r="K8">
        <v>25000</v>
      </c>
      <c r="L8" t="s">
        <v>137</v>
      </c>
      <c r="M8" t="s">
        <v>138</v>
      </c>
      <c r="N8" t="s">
        <v>139</v>
      </c>
    </row>
    <row r="9" spans="1:14" x14ac:dyDescent="0.25">
      <c r="A9" t="s">
        <v>144</v>
      </c>
      <c r="B9" t="s">
        <v>145</v>
      </c>
      <c r="C9" t="s">
        <v>146</v>
      </c>
      <c r="D9">
        <v>46063</v>
      </c>
      <c r="E9" t="s">
        <v>31</v>
      </c>
      <c r="F9" t="s">
        <v>143</v>
      </c>
      <c r="G9" t="s">
        <v>147</v>
      </c>
      <c r="H9" t="s">
        <v>32</v>
      </c>
      <c r="I9">
        <v>5</v>
      </c>
      <c r="J9">
        <v>832761</v>
      </c>
      <c r="K9">
        <v>50000</v>
      </c>
      <c r="L9" t="s">
        <v>148</v>
      </c>
      <c r="M9" t="s">
        <v>149</v>
      </c>
      <c r="N9" t="s">
        <v>139</v>
      </c>
    </row>
    <row r="10" spans="1:14" x14ac:dyDescent="0.25">
      <c r="A10" t="s">
        <v>150</v>
      </c>
      <c r="B10" t="s">
        <v>151</v>
      </c>
      <c r="C10" t="s">
        <v>152</v>
      </c>
      <c r="D10">
        <v>46026</v>
      </c>
      <c r="E10" t="s">
        <v>27</v>
      </c>
      <c r="F10" t="s">
        <v>143</v>
      </c>
      <c r="G10" t="s">
        <v>147</v>
      </c>
      <c r="H10" t="s">
        <v>20</v>
      </c>
      <c r="I10">
        <v>2</v>
      </c>
      <c r="J10">
        <v>1915625</v>
      </c>
      <c r="K10">
        <v>15000</v>
      </c>
      <c r="L10" t="s">
        <v>137</v>
      </c>
      <c r="M10" t="s">
        <v>138</v>
      </c>
      <c r="N10" t="s">
        <v>139</v>
      </c>
    </row>
    <row r="11" spans="1:14" x14ac:dyDescent="0.25">
      <c r="A11" t="s">
        <v>153</v>
      </c>
      <c r="B11" t="s">
        <v>154</v>
      </c>
      <c r="C11" t="s">
        <v>155</v>
      </c>
      <c r="D11">
        <v>46033</v>
      </c>
      <c r="E11" t="s">
        <v>23</v>
      </c>
      <c r="F11" t="s">
        <v>28</v>
      </c>
      <c r="G11" t="s">
        <v>39</v>
      </c>
      <c r="H11" t="s">
        <v>29</v>
      </c>
      <c r="I11">
        <v>1</v>
      </c>
      <c r="J11">
        <v>2094060</v>
      </c>
      <c r="K11">
        <v>50000</v>
      </c>
      <c r="L11" t="s">
        <v>137</v>
      </c>
      <c r="M11" t="s">
        <v>138</v>
      </c>
      <c r="N11" t="s">
        <v>156</v>
      </c>
    </row>
    <row r="12" spans="1:14" x14ac:dyDescent="0.25">
      <c r="A12" t="s">
        <v>157</v>
      </c>
      <c r="B12" t="s">
        <v>158</v>
      </c>
      <c r="C12" t="s">
        <v>159</v>
      </c>
      <c r="D12">
        <v>46026</v>
      </c>
      <c r="E12" t="s">
        <v>23</v>
      </c>
      <c r="F12" t="s">
        <v>160</v>
      </c>
      <c r="G12" t="s">
        <v>39</v>
      </c>
      <c r="H12" t="s">
        <v>25</v>
      </c>
      <c r="I12">
        <v>2</v>
      </c>
      <c r="J12">
        <v>1825479</v>
      </c>
      <c r="K12">
        <v>15000</v>
      </c>
      <c r="L12" t="s">
        <v>137</v>
      </c>
      <c r="M12" t="s">
        <v>161</v>
      </c>
      <c r="N12" t="s">
        <v>156</v>
      </c>
    </row>
    <row r="13" spans="1:14" x14ac:dyDescent="0.25">
      <c r="A13" t="s">
        <v>162</v>
      </c>
      <c r="B13" t="s">
        <v>163</v>
      </c>
      <c r="C13" t="s">
        <v>164</v>
      </c>
      <c r="D13">
        <v>46140</v>
      </c>
      <c r="E13" t="s">
        <v>31</v>
      </c>
      <c r="F13" t="s">
        <v>143</v>
      </c>
      <c r="G13" t="s">
        <v>136</v>
      </c>
      <c r="H13" t="s">
        <v>32</v>
      </c>
      <c r="I13">
        <v>4</v>
      </c>
      <c r="J13">
        <v>222397</v>
      </c>
      <c r="K13">
        <v>35000</v>
      </c>
      <c r="L13" t="s">
        <v>137</v>
      </c>
      <c r="M13" t="s">
        <v>165</v>
      </c>
      <c r="N13" t="s">
        <v>156</v>
      </c>
    </row>
    <row r="14" spans="1:14" x14ac:dyDescent="0.25">
      <c r="A14" t="s">
        <v>166</v>
      </c>
      <c r="B14" t="s">
        <v>167</v>
      </c>
      <c r="C14" t="s">
        <v>168</v>
      </c>
      <c r="D14">
        <v>46183</v>
      </c>
      <c r="E14" t="s">
        <v>31</v>
      </c>
      <c r="F14" t="s">
        <v>1346</v>
      </c>
      <c r="G14" t="s">
        <v>169</v>
      </c>
      <c r="H14" t="s">
        <v>35</v>
      </c>
      <c r="I14">
        <v>6</v>
      </c>
      <c r="J14">
        <v>416531</v>
      </c>
      <c r="K14">
        <v>35000</v>
      </c>
      <c r="L14" t="s">
        <v>137</v>
      </c>
      <c r="M14" t="s">
        <v>161</v>
      </c>
      <c r="N14" t="s">
        <v>156</v>
      </c>
    </row>
    <row r="15" spans="1:14" x14ac:dyDescent="0.25">
      <c r="A15" t="s">
        <v>170</v>
      </c>
      <c r="B15" t="s">
        <v>171</v>
      </c>
      <c r="C15" t="s">
        <v>172</v>
      </c>
      <c r="D15">
        <v>46198</v>
      </c>
      <c r="E15" t="s">
        <v>34</v>
      </c>
      <c r="F15" t="s">
        <v>160</v>
      </c>
      <c r="G15" t="s">
        <v>173</v>
      </c>
      <c r="H15" t="s">
        <v>32</v>
      </c>
      <c r="I15">
        <v>3</v>
      </c>
      <c r="J15">
        <v>459566</v>
      </c>
      <c r="K15">
        <v>50000</v>
      </c>
      <c r="L15" t="s">
        <v>137</v>
      </c>
      <c r="M15" t="s">
        <v>161</v>
      </c>
      <c r="N15" t="s">
        <v>139</v>
      </c>
    </row>
    <row r="16" spans="1:14" x14ac:dyDescent="0.25">
      <c r="A16" t="s">
        <v>174</v>
      </c>
      <c r="B16" t="s">
        <v>175</v>
      </c>
      <c r="C16" t="s">
        <v>176</v>
      </c>
      <c r="D16">
        <v>46181</v>
      </c>
      <c r="E16" t="s">
        <v>23</v>
      </c>
      <c r="F16" t="s">
        <v>143</v>
      </c>
      <c r="G16" t="s">
        <v>177</v>
      </c>
      <c r="H16" t="s">
        <v>25</v>
      </c>
      <c r="I16">
        <v>3</v>
      </c>
      <c r="J16">
        <v>291439</v>
      </c>
      <c r="K16">
        <v>25000</v>
      </c>
      <c r="L16" t="s">
        <v>137</v>
      </c>
      <c r="M16" t="s">
        <v>138</v>
      </c>
      <c r="N16" t="s">
        <v>156</v>
      </c>
    </row>
    <row r="17" spans="1:14" x14ac:dyDescent="0.25">
      <c r="A17" t="s">
        <v>178</v>
      </c>
      <c r="B17" t="s">
        <v>179</v>
      </c>
      <c r="C17" t="s">
        <v>180</v>
      </c>
      <c r="D17">
        <v>46052</v>
      </c>
      <c r="E17" t="s">
        <v>18</v>
      </c>
      <c r="F17" t="s">
        <v>1346</v>
      </c>
      <c r="G17" t="s">
        <v>136</v>
      </c>
      <c r="H17" t="s">
        <v>25</v>
      </c>
      <c r="I17">
        <v>7</v>
      </c>
      <c r="J17">
        <v>2126947</v>
      </c>
      <c r="K17">
        <v>50000</v>
      </c>
      <c r="L17" t="s">
        <v>37</v>
      </c>
      <c r="M17" t="s">
        <v>149</v>
      </c>
      <c r="N17" t="s">
        <v>139</v>
      </c>
    </row>
    <row r="18" spans="1:14" x14ac:dyDescent="0.25">
      <c r="A18" t="s">
        <v>181</v>
      </c>
      <c r="B18" t="s">
        <v>182</v>
      </c>
      <c r="C18" t="s">
        <v>183</v>
      </c>
      <c r="D18">
        <v>46036</v>
      </c>
      <c r="E18" t="s">
        <v>23</v>
      </c>
      <c r="F18" t="s">
        <v>28</v>
      </c>
      <c r="G18" t="s">
        <v>169</v>
      </c>
      <c r="H18" t="s">
        <v>35</v>
      </c>
      <c r="I18">
        <v>3</v>
      </c>
      <c r="J18">
        <v>385789</v>
      </c>
      <c r="K18">
        <v>25000</v>
      </c>
      <c r="L18" t="s">
        <v>137</v>
      </c>
      <c r="M18" t="s">
        <v>138</v>
      </c>
      <c r="N18" t="s">
        <v>139</v>
      </c>
    </row>
    <row r="19" spans="1:14" x14ac:dyDescent="0.25">
      <c r="A19" t="s">
        <v>184</v>
      </c>
      <c r="B19" t="s">
        <v>185</v>
      </c>
      <c r="C19" t="s">
        <v>164</v>
      </c>
      <c r="D19">
        <v>46181</v>
      </c>
      <c r="E19" t="s">
        <v>18</v>
      </c>
      <c r="F19" t="s">
        <v>1346</v>
      </c>
      <c r="G19" t="s">
        <v>173</v>
      </c>
      <c r="H19" t="s">
        <v>20</v>
      </c>
      <c r="I19">
        <v>2</v>
      </c>
      <c r="J19">
        <v>1664115</v>
      </c>
      <c r="K19">
        <v>0</v>
      </c>
      <c r="L19" t="s">
        <v>148</v>
      </c>
      <c r="M19" t="s">
        <v>138</v>
      </c>
      <c r="N19" t="s">
        <v>156</v>
      </c>
    </row>
    <row r="20" spans="1:14" x14ac:dyDescent="0.25">
      <c r="A20" t="s">
        <v>186</v>
      </c>
      <c r="B20" t="s">
        <v>182</v>
      </c>
      <c r="C20" t="s">
        <v>183</v>
      </c>
      <c r="D20">
        <v>46051</v>
      </c>
      <c r="E20" t="s">
        <v>34</v>
      </c>
      <c r="F20" t="s">
        <v>28</v>
      </c>
      <c r="G20" t="s">
        <v>169</v>
      </c>
      <c r="H20" t="s">
        <v>35</v>
      </c>
      <c r="I20">
        <v>2</v>
      </c>
      <c r="J20">
        <v>740564</v>
      </c>
      <c r="K20">
        <v>35000</v>
      </c>
      <c r="L20" t="s">
        <v>148</v>
      </c>
      <c r="M20" t="s">
        <v>165</v>
      </c>
      <c r="N20" t="s">
        <v>156</v>
      </c>
    </row>
    <row r="21" spans="1:14" x14ac:dyDescent="0.25">
      <c r="A21" t="s">
        <v>187</v>
      </c>
      <c r="B21" t="s">
        <v>188</v>
      </c>
      <c r="C21" t="s">
        <v>189</v>
      </c>
      <c r="D21">
        <v>46111</v>
      </c>
      <c r="E21" t="s">
        <v>23</v>
      </c>
      <c r="F21" t="s">
        <v>160</v>
      </c>
      <c r="G21" t="s">
        <v>177</v>
      </c>
      <c r="H21" t="s">
        <v>35</v>
      </c>
      <c r="I21">
        <v>6</v>
      </c>
      <c r="J21">
        <v>1882152</v>
      </c>
      <c r="K21">
        <v>35000</v>
      </c>
      <c r="L21" t="s">
        <v>137</v>
      </c>
      <c r="M21" t="s">
        <v>161</v>
      </c>
      <c r="N21" t="s">
        <v>139</v>
      </c>
    </row>
    <row r="22" spans="1:14" x14ac:dyDescent="0.25">
      <c r="A22" t="s">
        <v>190</v>
      </c>
      <c r="B22" t="s">
        <v>191</v>
      </c>
      <c r="C22" t="s">
        <v>192</v>
      </c>
      <c r="D22">
        <v>46171</v>
      </c>
      <c r="E22" t="s">
        <v>27</v>
      </c>
      <c r="F22" t="s">
        <v>28</v>
      </c>
      <c r="G22" t="s">
        <v>39</v>
      </c>
      <c r="H22" t="s">
        <v>25</v>
      </c>
      <c r="I22">
        <v>4</v>
      </c>
      <c r="J22">
        <v>1557775</v>
      </c>
      <c r="K22">
        <v>25000</v>
      </c>
      <c r="L22" t="s">
        <v>137</v>
      </c>
      <c r="M22" t="s">
        <v>138</v>
      </c>
      <c r="N22" t="s">
        <v>156</v>
      </c>
    </row>
    <row r="23" spans="1:14" x14ac:dyDescent="0.25">
      <c r="A23" t="s">
        <v>193</v>
      </c>
      <c r="B23" t="s">
        <v>194</v>
      </c>
      <c r="C23" t="s">
        <v>195</v>
      </c>
      <c r="D23">
        <v>46101</v>
      </c>
      <c r="E23" t="s">
        <v>23</v>
      </c>
      <c r="F23" t="s">
        <v>143</v>
      </c>
      <c r="G23" t="s">
        <v>136</v>
      </c>
      <c r="H23" t="s">
        <v>25</v>
      </c>
      <c r="I23">
        <v>2</v>
      </c>
      <c r="J23">
        <v>840317</v>
      </c>
      <c r="K23">
        <v>25000</v>
      </c>
      <c r="L23" t="s">
        <v>137</v>
      </c>
      <c r="M23" t="s">
        <v>149</v>
      </c>
      <c r="N23" t="s">
        <v>139</v>
      </c>
    </row>
    <row r="24" spans="1:14" x14ac:dyDescent="0.25">
      <c r="A24" t="s">
        <v>196</v>
      </c>
      <c r="B24" t="s">
        <v>197</v>
      </c>
      <c r="C24" t="s">
        <v>198</v>
      </c>
      <c r="D24">
        <v>46181</v>
      </c>
      <c r="E24" t="s">
        <v>18</v>
      </c>
      <c r="F24" t="s">
        <v>143</v>
      </c>
      <c r="G24" t="s">
        <v>177</v>
      </c>
      <c r="H24" t="s">
        <v>20</v>
      </c>
      <c r="I24">
        <v>3</v>
      </c>
      <c r="J24">
        <v>794401</v>
      </c>
      <c r="K24">
        <v>50000</v>
      </c>
      <c r="L24" t="s">
        <v>137</v>
      </c>
      <c r="M24" t="s">
        <v>199</v>
      </c>
      <c r="N24" t="s">
        <v>156</v>
      </c>
    </row>
    <row r="25" spans="1:14" x14ac:dyDescent="0.25">
      <c r="A25" t="s">
        <v>200</v>
      </c>
      <c r="B25" t="s">
        <v>201</v>
      </c>
      <c r="C25" t="s">
        <v>202</v>
      </c>
      <c r="D25">
        <v>46170</v>
      </c>
      <c r="E25" t="s">
        <v>23</v>
      </c>
      <c r="F25" t="s">
        <v>1346</v>
      </c>
      <c r="G25" t="s">
        <v>136</v>
      </c>
      <c r="H25" t="s">
        <v>29</v>
      </c>
      <c r="I25">
        <v>3</v>
      </c>
      <c r="J25">
        <v>650468</v>
      </c>
      <c r="K25">
        <v>35000</v>
      </c>
      <c r="L25" t="s">
        <v>137</v>
      </c>
      <c r="M25" t="s">
        <v>161</v>
      </c>
      <c r="N25" t="s">
        <v>139</v>
      </c>
    </row>
    <row r="26" spans="1:14" x14ac:dyDescent="0.25">
      <c r="A26" t="s">
        <v>203</v>
      </c>
      <c r="B26" t="s">
        <v>204</v>
      </c>
      <c r="C26" t="s">
        <v>205</v>
      </c>
      <c r="D26">
        <v>46161</v>
      </c>
      <c r="E26" t="s">
        <v>31</v>
      </c>
      <c r="F26" t="s">
        <v>143</v>
      </c>
      <c r="G26" t="s">
        <v>39</v>
      </c>
      <c r="H26" t="s">
        <v>25</v>
      </c>
      <c r="I26">
        <v>3</v>
      </c>
      <c r="J26">
        <v>801983</v>
      </c>
      <c r="K26">
        <v>50000</v>
      </c>
      <c r="L26" t="s">
        <v>137</v>
      </c>
      <c r="M26" t="s">
        <v>161</v>
      </c>
      <c r="N26" t="s">
        <v>156</v>
      </c>
    </row>
    <row r="27" spans="1:14" x14ac:dyDescent="0.25">
      <c r="A27" t="s">
        <v>206</v>
      </c>
      <c r="B27" t="s">
        <v>207</v>
      </c>
      <c r="C27" t="s">
        <v>168</v>
      </c>
      <c r="D27">
        <v>46162</v>
      </c>
      <c r="E27" t="s">
        <v>34</v>
      </c>
      <c r="F27" t="s">
        <v>143</v>
      </c>
      <c r="G27" t="s">
        <v>147</v>
      </c>
      <c r="H27" t="s">
        <v>32</v>
      </c>
      <c r="I27">
        <v>6</v>
      </c>
      <c r="J27">
        <v>2248227</v>
      </c>
      <c r="K27">
        <v>25000</v>
      </c>
      <c r="L27" t="s">
        <v>137</v>
      </c>
      <c r="M27" t="s">
        <v>138</v>
      </c>
      <c r="N27" t="s">
        <v>139</v>
      </c>
    </row>
    <row r="28" spans="1:14" x14ac:dyDescent="0.25">
      <c r="A28" t="s">
        <v>208</v>
      </c>
      <c r="B28" t="s">
        <v>209</v>
      </c>
      <c r="C28" t="s">
        <v>210</v>
      </c>
      <c r="D28">
        <v>46051</v>
      </c>
      <c r="E28" t="s">
        <v>23</v>
      </c>
      <c r="F28" t="s">
        <v>28</v>
      </c>
      <c r="G28" t="s">
        <v>147</v>
      </c>
      <c r="H28" t="s">
        <v>29</v>
      </c>
      <c r="I28">
        <v>2</v>
      </c>
      <c r="J28">
        <v>2128992</v>
      </c>
      <c r="K28">
        <v>0</v>
      </c>
      <c r="L28" t="s">
        <v>137</v>
      </c>
      <c r="M28" t="s">
        <v>161</v>
      </c>
      <c r="N28" t="s">
        <v>139</v>
      </c>
    </row>
    <row r="29" spans="1:14" x14ac:dyDescent="0.25">
      <c r="A29" t="s">
        <v>211</v>
      </c>
      <c r="B29" t="s">
        <v>212</v>
      </c>
      <c r="C29" t="s">
        <v>213</v>
      </c>
      <c r="D29">
        <v>46046</v>
      </c>
      <c r="E29" t="s">
        <v>18</v>
      </c>
      <c r="F29" t="s">
        <v>1346</v>
      </c>
      <c r="G29" t="s">
        <v>177</v>
      </c>
      <c r="H29" t="s">
        <v>20</v>
      </c>
      <c r="I29">
        <v>5</v>
      </c>
      <c r="J29">
        <v>1488880</v>
      </c>
      <c r="K29">
        <v>0</v>
      </c>
      <c r="L29" t="s">
        <v>214</v>
      </c>
      <c r="M29" t="s">
        <v>138</v>
      </c>
      <c r="N29" t="s">
        <v>156</v>
      </c>
    </row>
    <row r="30" spans="1:14" x14ac:dyDescent="0.25">
      <c r="A30" t="s">
        <v>215</v>
      </c>
      <c r="B30" t="s">
        <v>216</v>
      </c>
      <c r="C30" t="s">
        <v>217</v>
      </c>
      <c r="D30">
        <v>46137</v>
      </c>
      <c r="E30" t="s">
        <v>27</v>
      </c>
      <c r="F30" t="s">
        <v>160</v>
      </c>
      <c r="G30" t="s">
        <v>169</v>
      </c>
      <c r="H30" t="s">
        <v>25</v>
      </c>
      <c r="I30">
        <v>4</v>
      </c>
      <c r="J30">
        <v>486485</v>
      </c>
      <c r="K30">
        <v>50000</v>
      </c>
      <c r="L30" t="s">
        <v>137</v>
      </c>
      <c r="M30" t="s">
        <v>161</v>
      </c>
      <c r="N30" t="s">
        <v>139</v>
      </c>
    </row>
    <row r="31" spans="1:14" x14ac:dyDescent="0.25">
      <c r="A31" t="s">
        <v>218</v>
      </c>
      <c r="B31" t="s">
        <v>219</v>
      </c>
      <c r="C31" t="s">
        <v>220</v>
      </c>
      <c r="D31">
        <v>46132</v>
      </c>
      <c r="E31" t="s">
        <v>34</v>
      </c>
      <c r="F31" t="s">
        <v>28</v>
      </c>
      <c r="G31" t="s">
        <v>147</v>
      </c>
      <c r="H31" t="s">
        <v>88</v>
      </c>
      <c r="I31">
        <v>3</v>
      </c>
      <c r="J31">
        <v>1670340</v>
      </c>
      <c r="K31">
        <v>35000</v>
      </c>
      <c r="L31" t="s">
        <v>137</v>
      </c>
      <c r="M31" t="s">
        <v>161</v>
      </c>
      <c r="N31" t="s">
        <v>156</v>
      </c>
    </row>
    <row r="32" spans="1:14" x14ac:dyDescent="0.25">
      <c r="A32" t="s">
        <v>221</v>
      </c>
      <c r="B32" t="s">
        <v>222</v>
      </c>
      <c r="C32" t="s">
        <v>223</v>
      </c>
      <c r="D32">
        <v>46136</v>
      </c>
      <c r="E32" t="s">
        <v>31</v>
      </c>
      <c r="F32" t="s">
        <v>28</v>
      </c>
      <c r="G32" t="s">
        <v>177</v>
      </c>
      <c r="H32" t="s">
        <v>35</v>
      </c>
      <c r="I32">
        <v>3</v>
      </c>
      <c r="J32">
        <v>1863193</v>
      </c>
      <c r="K32">
        <v>35000</v>
      </c>
      <c r="L32" t="s">
        <v>137</v>
      </c>
      <c r="M32" t="s">
        <v>138</v>
      </c>
      <c r="N32" t="s">
        <v>156</v>
      </c>
    </row>
    <row r="33" spans="1:14" x14ac:dyDescent="0.25">
      <c r="A33" t="s">
        <v>224</v>
      </c>
      <c r="B33" t="s">
        <v>225</v>
      </c>
      <c r="C33" t="s">
        <v>226</v>
      </c>
      <c r="D33">
        <v>46076</v>
      </c>
      <c r="E33" t="s">
        <v>27</v>
      </c>
      <c r="F33" t="s">
        <v>28</v>
      </c>
      <c r="G33" t="s">
        <v>173</v>
      </c>
      <c r="H33" t="s">
        <v>20</v>
      </c>
      <c r="I33">
        <v>7</v>
      </c>
      <c r="J33">
        <v>1391843</v>
      </c>
      <c r="K33">
        <v>35000</v>
      </c>
      <c r="L33" t="s">
        <v>137</v>
      </c>
      <c r="M33" t="s">
        <v>161</v>
      </c>
      <c r="N33" t="s">
        <v>139</v>
      </c>
    </row>
    <row r="34" spans="1:14" x14ac:dyDescent="0.25">
      <c r="A34" t="s">
        <v>227</v>
      </c>
      <c r="B34" t="s">
        <v>228</v>
      </c>
      <c r="C34" t="s">
        <v>217</v>
      </c>
      <c r="D34">
        <v>46092</v>
      </c>
      <c r="E34" t="s">
        <v>18</v>
      </c>
      <c r="F34" t="s">
        <v>143</v>
      </c>
      <c r="G34" t="s">
        <v>177</v>
      </c>
      <c r="H34" t="s">
        <v>32</v>
      </c>
      <c r="I34">
        <v>5</v>
      </c>
      <c r="J34">
        <v>1858597</v>
      </c>
      <c r="K34">
        <v>15000</v>
      </c>
      <c r="L34" t="s">
        <v>137</v>
      </c>
      <c r="M34" t="s">
        <v>138</v>
      </c>
      <c r="N34" t="s">
        <v>139</v>
      </c>
    </row>
    <row r="35" spans="1:14" x14ac:dyDescent="0.25">
      <c r="A35" t="s">
        <v>229</v>
      </c>
      <c r="B35" t="s">
        <v>230</v>
      </c>
      <c r="C35" t="s">
        <v>231</v>
      </c>
      <c r="D35">
        <v>46148</v>
      </c>
      <c r="E35" t="s">
        <v>31</v>
      </c>
      <c r="F35" t="s">
        <v>143</v>
      </c>
      <c r="G35" t="s">
        <v>173</v>
      </c>
      <c r="H35" t="s">
        <v>20</v>
      </c>
      <c r="I35">
        <v>7</v>
      </c>
      <c r="J35">
        <v>297137</v>
      </c>
      <c r="K35">
        <v>25000</v>
      </c>
      <c r="L35" t="s">
        <v>137</v>
      </c>
      <c r="M35" t="s">
        <v>138</v>
      </c>
      <c r="N35" t="s">
        <v>156</v>
      </c>
    </row>
    <row r="36" spans="1:14" x14ac:dyDescent="0.25">
      <c r="A36" t="s">
        <v>232</v>
      </c>
      <c r="B36" t="s">
        <v>233</v>
      </c>
      <c r="C36" t="s">
        <v>36</v>
      </c>
      <c r="D36">
        <v>46099</v>
      </c>
      <c r="E36" t="s">
        <v>18</v>
      </c>
      <c r="F36" t="s">
        <v>28</v>
      </c>
      <c r="G36" t="s">
        <v>169</v>
      </c>
      <c r="H36" t="s">
        <v>29</v>
      </c>
      <c r="I36">
        <v>6</v>
      </c>
      <c r="J36">
        <v>2101981</v>
      </c>
      <c r="K36">
        <v>0</v>
      </c>
      <c r="L36" t="s">
        <v>137</v>
      </c>
      <c r="M36" t="s">
        <v>161</v>
      </c>
      <c r="N36" t="s">
        <v>156</v>
      </c>
    </row>
    <row r="37" spans="1:14" x14ac:dyDescent="0.25">
      <c r="A37" t="s">
        <v>234</v>
      </c>
      <c r="B37" t="s">
        <v>235</v>
      </c>
      <c r="C37" t="s">
        <v>142</v>
      </c>
      <c r="D37">
        <v>46093</v>
      </c>
      <c r="E37" t="s">
        <v>27</v>
      </c>
      <c r="F37" t="s">
        <v>28</v>
      </c>
      <c r="G37" t="s">
        <v>1347</v>
      </c>
      <c r="H37" t="s">
        <v>32</v>
      </c>
      <c r="I37">
        <v>5</v>
      </c>
      <c r="J37">
        <v>2188002</v>
      </c>
      <c r="K37">
        <v>0</v>
      </c>
      <c r="L37" t="s">
        <v>137</v>
      </c>
      <c r="M37" t="s">
        <v>138</v>
      </c>
      <c r="N37" t="s">
        <v>156</v>
      </c>
    </row>
    <row r="38" spans="1:14" x14ac:dyDescent="0.25">
      <c r="A38" t="s">
        <v>236</v>
      </c>
      <c r="B38" t="s">
        <v>237</v>
      </c>
      <c r="C38" t="s">
        <v>205</v>
      </c>
      <c r="D38">
        <v>46154</v>
      </c>
      <c r="E38" t="s">
        <v>31</v>
      </c>
      <c r="F38" t="s">
        <v>143</v>
      </c>
      <c r="G38" t="s">
        <v>136</v>
      </c>
      <c r="H38" t="s">
        <v>29</v>
      </c>
      <c r="I38">
        <v>2</v>
      </c>
      <c r="J38">
        <v>193589</v>
      </c>
      <c r="K38">
        <v>25000</v>
      </c>
      <c r="L38" t="s">
        <v>137</v>
      </c>
      <c r="M38" t="s">
        <v>161</v>
      </c>
      <c r="N38" t="s">
        <v>156</v>
      </c>
    </row>
    <row r="39" spans="1:14" x14ac:dyDescent="0.25">
      <c r="A39" t="s">
        <v>238</v>
      </c>
      <c r="B39" t="s">
        <v>239</v>
      </c>
      <c r="C39" t="s">
        <v>240</v>
      </c>
      <c r="D39">
        <v>46115</v>
      </c>
      <c r="E39" t="s">
        <v>23</v>
      </c>
      <c r="F39" t="s">
        <v>143</v>
      </c>
      <c r="G39" t="s">
        <v>169</v>
      </c>
      <c r="H39" t="s">
        <v>29</v>
      </c>
      <c r="I39">
        <v>1</v>
      </c>
      <c r="J39">
        <v>1879569</v>
      </c>
      <c r="K39">
        <v>25000</v>
      </c>
      <c r="L39" t="s">
        <v>137</v>
      </c>
      <c r="M39" t="s">
        <v>138</v>
      </c>
      <c r="N39" t="s">
        <v>156</v>
      </c>
    </row>
    <row r="40" spans="1:14" x14ac:dyDescent="0.25">
      <c r="A40" t="s">
        <v>241</v>
      </c>
      <c r="B40" t="s">
        <v>242</v>
      </c>
      <c r="C40" t="s">
        <v>176</v>
      </c>
      <c r="D40">
        <v>46065</v>
      </c>
      <c r="E40" t="s">
        <v>34</v>
      </c>
      <c r="F40" t="s">
        <v>1346</v>
      </c>
      <c r="G40" t="s">
        <v>169</v>
      </c>
      <c r="H40" t="s">
        <v>25</v>
      </c>
      <c r="I40">
        <v>7</v>
      </c>
      <c r="J40" t="s">
        <v>243</v>
      </c>
      <c r="K40">
        <v>25000</v>
      </c>
      <c r="L40" t="s">
        <v>137</v>
      </c>
      <c r="M40" t="s">
        <v>165</v>
      </c>
      <c r="N40" t="s">
        <v>156</v>
      </c>
    </row>
    <row r="41" spans="1:14" x14ac:dyDescent="0.25">
      <c r="A41" t="s">
        <v>244</v>
      </c>
      <c r="B41" t="s">
        <v>245</v>
      </c>
      <c r="C41" t="s">
        <v>246</v>
      </c>
      <c r="D41">
        <v>46171</v>
      </c>
      <c r="E41" t="s">
        <v>31</v>
      </c>
      <c r="F41" t="s">
        <v>101</v>
      </c>
      <c r="G41" t="s">
        <v>136</v>
      </c>
      <c r="H41" t="s">
        <v>29</v>
      </c>
      <c r="I41">
        <v>1</v>
      </c>
      <c r="J41">
        <v>1594840</v>
      </c>
      <c r="K41">
        <v>15000</v>
      </c>
      <c r="L41" t="s">
        <v>137</v>
      </c>
      <c r="M41" t="s">
        <v>161</v>
      </c>
      <c r="N41" t="s">
        <v>156</v>
      </c>
    </row>
    <row r="42" spans="1:14" x14ac:dyDescent="0.25">
      <c r="A42" t="s">
        <v>247</v>
      </c>
      <c r="B42" t="s">
        <v>248</v>
      </c>
      <c r="C42" t="s">
        <v>226</v>
      </c>
      <c r="D42">
        <v>46062</v>
      </c>
      <c r="E42" t="s">
        <v>27</v>
      </c>
      <c r="F42" t="s">
        <v>160</v>
      </c>
      <c r="G42" t="s">
        <v>39</v>
      </c>
      <c r="H42" t="s">
        <v>32</v>
      </c>
      <c r="I42">
        <v>7</v>
      </c>
      <c r="J42">
        <v>2231340</v>
      </c>
      <c r="K42">
        <v>15000</v>
      </c>
      <c r="L42" t="s">
        <v>137</v>
      </c>
      <c r="M42" t="s">
        <v>249</v>
      </c>
      <c r="N42" t="s">
        <v>156</v>
      </c>
    </row>
    <row r="43" spans="1:14" x14ac:dyDescent="0.25">
      <c r="A43" t="s">
        <v>250</v>
      </c>
      <c r="B43" t="s">
        <v>251</v>
      </c>
      <c r="C43" t="s">
        <v>17</v>
      </c>
      <c r="D43">
        <v>46056</v>
      </c>
      <c r="E43" t="s">
        <v>31</v>
      </c>
      <c r="F43" t="s">
        <v>1346</v>
      </c>
      <c r="G43" t="s">
        <v>177</v>
      </c>
      <c r="H43" t="s">
        <v>25</v>
      </c>
      <c r="I43">
        <v>3</v>
      </c>
      <c r="J43">
        <v>192894</v>
      </c>
      <c r="K43">
        <v>35000</v>
      </c>
      <c r="L43" t="s">
        <v>137</v>
      </c>
      <c r="M43" t="s">
        <v>138</v>
      </c>
      <c r="N43" t="s">
        <v>156</v>
      </c>
    </row>
    <row r="44" spans="1:14" x14ac:dyDescent="0.25">
      <c r="A44" t="s">
        <v>252</v>
      </c>
      <c r="B44" t="s">
        <v>253</v>
      </c>
      <c r="C44" t="s">
        <v>176</v>
      </c>
      <c r="D44">
        <v>46053</v>
      </c>
      <c r="E44" t="s">
        <v>34</v>
      </c>
      <c r="F44" t="s">
        <v>143</v>
      </c>
      <c r="G44" t="s">
        <v>177</v>
      </c>
      <c r="H44" t="s">
        <v>29</v>
      </c>
      <c r="I44">
        <v>7</v>
      </c>
      <c r="J44">
        <v>1052636</v>
      </c>
      <c r="K44">
        <v>15000</v>
      </c>
      <c r="L44" t="s">
        <v>137</v>
      </c>
      <c r="M44" t="s">
        <v>138</v>
      </c>
      <c r="N44" t="s">
        <v>156</v>
      </c>
    </row>
    <row r="45" spans="1:14" x14ac:dyDescent="0.25">
      <c r="A45" t="s">
        <v>254</v>
      </c>
      <c r="B45" t="s">
        <v>255</v>
      </c>
      <c r="C45" t="s">
        <v>33</v>
      </c>
      <c r="D45">
        <v>46199</v>
      </c>
      <c r="E45" t="s">
        <v>23</v>
      </c>
      <c r="F45" t="s">
        <v>143</v>
      </c>
      <c r="G45" t="s">
        <v>173</v>
      </c>
      <c r="H45" t="s">
        <v>20</v>
      </c>
      <c r="I45">
        <v>1</v>
      </c>
      <c r="J45">
        <v>588596</v>
      </c>
      <c r="K45">
        <v>0</v>
      </c>
      <c r="L45" t="s">
        <v>137</v>
      </c>
      <c r="M45" t="s">
        <v>138</v>
      </c>
      <c r="N45" t="s">
        <v>156</v>
      </c>
    </row>
    <row r="46" spans="1:14" x14ac:dyDescent="0.25">
      <c r="A46" t="s">
        <v>256</v>
      </c>
      <c r="B46" t="s">
        <v>257</v>
      </c>
      <c r="C46" t="s">
        <v>258</v>
      </c>
      <c r="D46">
        <v>46053</v>
      </c>
      <c r="E46" t="s">
        <v>23</v>
      </c>
      <c r="F46" t="s">
        <v>160</v>
      </c>
      <c r="G46" t="s">
        <v>147</v>
      </c>
      <c r="H46" t="s">
        <v>29</v>
      </c>
      <c r="I46">
        <v>1</v>
      </c>
      <c r="J46">
        <v>1181211</v>
      </c>
      <c r="K46">
        <v>0</v>
      </c>
      <c r="L46" t="s">
        <v>137</v>
      </c>
      <c r="M46" t="s">
        <v>161</v>
      </c>
      <c r="N46" t="s">
        <v>156</v>
      </c>
    </row>
    <row r="47" spans="1:14" x14ac:dyDescent="0.25">
      <c r="A47" t="s">
        <v>259</v>
      </c>
      <c r="B47" t="s">
        <v>260</v>
      </c>
      <c r="C47" t="s">
        <v>261</v>
      </c>
      <c r="D47">
        <v>46194</v>
      </c>
      <c r="E47" t="s">
        <v>34</v>
      </c>
      <c r="F47" t="s">
        <v>1346</v>
      </c>
      <c r="G47" t="s">
        <v>136</v>
      </c>
      <c r="H47" t="s">
        <v>29</v>
      </c>
      <c r="I47">
        <v>1</v>
      </c>
      <c r="J47">
        <v>1594439</v>
      </c>
      <c r="K47">
        <v>0</v>
      </c>
      <c r="L47" t="s">
        <v>262</v>
      </c>
      <c r="M47" t="s">
        <v>138</v>
      </c>
      <c r="N47" t="s">
        <v>156</v>
      </c>
    </row>
    <row r="48" spans="1:14" x14ac:dyDescent="0.25">
      <c r="A48" t="s">
        <v>263</v>
      </c>
      <c r="B48" t="s">
        <v>264</v>
      </c>
      <c r="C48" t="s">
        <v>265</v>
      </c>
      <c r="D48">
        <v>46168</v>
      </c>
      <c r="E48" t="s">
        <v>18</v>
      </c>
      <c r="F48" t="s">
        <v>143</v>
      </c>
      <c r="G48" t="s">
        <v>136</v>
      </c>
      <c r="H48" t="s">
        <v>29</v>
      </c>
      <c r="I48">
        <v>7</v>
      </c>
      <c r="J48">
        <v>406626</v>
      </c>
      <c r="K48">
        <v>0</v>
      </c>
      <c r="L48" t="s">
        <v>137</v>
      </c>
      <c r="M48" t="s">
        <v>161</v>
      </c>
      <c r="N48" t="s">
        <v>156</v>
      </c>
    </row>
    <row r="49" spans="1:14" x14ac:dyDescent="0.25">
      <c r="A49" t="s">
        <v>266</v>
      </c>
      <c r="B49" t="s">
        <v>267</v>
      </c>
      <c r="C49" t="s">
        <v>1348</v>
      </c>
      <c r="D49" t="s">
        <v>1349</v>
      </c>
      <c r="E49" t="s">
        <v>27</v>
      </c>
      <c r="F49" t="s">
        <v>143</v>
      </c>
      <c r="G49" t="s">
        <v>39</v>
      </c>
      <c r="H49" t="s">
        <v>97</v>
      </c>
      <c r="I49">
        <v>7</v>
      </c>
      <c r="J49">
        <v>1017645</v>
      </c>
      <c r="K49">
        <v>50000</v>
      </c>
      <c r="L49" t="s">
        <v>137</v>
      </c>
      <c r="M49" t="s">
        <v>138</v>
      </c>
      <c r="N49" t="s">
        <v>156</v>
      </c>
    </row>
    <row r="50" spans="1:14" x14ac:dyDescent="0.25">
      <c r="A50" t="s">
        <v>268</v>
      </c>
      <c r="B50" t="s">
        <v>269</v>
      </c>
      <c r="C50" t="s">
        <v>180</v>
      </c>
      <c r="D50">
        <v>46113</v>
      </c>
      <c r="E50" t="s">
        <v>34</v>
      </c>
      <c r="F50" t="s">
        <v>160</v>
      </c>
      <c r="G50" t="s">
        <v>39</v>
      </c>
      <c r="H50" t="s">
        <v>20</v>
      </c>
      <c r="I50">
        <v>2</v>
      </c>
      <c r="J50">
        <v>1712220</v>
      </c>
      <c r="K50">
        <v>35000</v>
      </c>
      <c r="L50" t="s">
        <v>137</v>
      </c>
      <c r="M50" t="s">
        <v>138</v>
      </c>
      <c r="N50" t="s">
        <v>156</v>
      </c>
    </row>
    <row r="51" spans="1:14" x14ac:dyDescent="0.25">
      <c r="A51" t="s">
        <v>270</v>
      </c>
      <c r="B51" t="s">
        <v>271</v>
      </c>
      <c r="C51" t="s">
        <v>272</v>
      </c>
      <c r="D51">
        <v>46115</v>
      </c>
      <c r="E51" t="s">
        <v>23</v>
      </c>
      <c r="F51" t="s">
        <v>28</v>
      </c>
      <c r="G51" t="s">
        <v>136</v>
      </c>
      <c r="H51" t="s">
        <v>32</v>
      </c>
      <c r="I51">
        <v>6</v>
      </c>
      <c r="J51">
        <v>1329097</v>
      </c>
      <c r="K51">
        <v>50000</v>
      </c>
      <c r="L51" t="s">
        <v>137</v>
      </c>
      <c r="M51" t="s">
        <v>161</v>
      </c>
      <c r="N51" t="s">
        <v>139</v>
      </c>
    </row>
    <row r="52" spans="1:14" x14ac:dyDescent="0.25">
      <c r="A52" t="s">
        <v>273</v>
      </c>
      <c r="B52" t="s">
        <v>274</v>
      </c>
      <c r="C52" t="s">
        <v>192</v>
      </c>
      <c r="D52">
        <v>46136</v>
      </c>
      <c r="E52" t="s">
        <v>18</v>
      </c>
      <c r="F52" t="s">
        <v>160</v>
      </c>
      <c r="G52" t="s">
        <v>39</v>
      </c>
      <c r="H52" t="s">
        <v>25</v>
      </c>
      <c r="I52">
        <v>4</v>
      </c>
      <c r="J52">
        <v>1067381</v>
      </c>
      <c r="K52">
        <v>50000</v>
      </c>
      <c r="L52" t="s">
        <v>137</v>
      </c>
      <c r="M52" t="s">
        <v>165</v>
      </c>
      <c r="N52" t="s">
        <v>156</v>
      </c>
    </row>
    <row r="53" spans="1:14" x14ac:dyDescent="0.25">
      <c r="A53" t="s">
        <v>275</v>
      </c>
      <c r="B53" t="s">
        <v>276</v>
      </c>
      <c r="C53" t="s">
        <v>277</v>
      </c>
      <c r="D53">
        <v>46195</v>
      </c>
      <c r="E53" t="s">
        <v>23</v>
      </c>
      <c r="F53" t="s">
        <v>160</v>
      </c>
      <c r="G53" t="s">
        <v>177</v>
      </c>
      <c r="H53" t="s">
        <v>32</v>
      </c>
      <c r="I53">
        <v>4</v>
      </c>
      <c r="J53">
        <v>2182122</v>
      </c>
      <c r="K53">
        <v>0</v>
      </c>
      <c r="L53" t="s">
        <v>137</v>
      </c>
      <c r="M53" t="s">
        <v>138</v>
      </c>
      <c r="N53" t="s">
        <v>139</v>
      </c>
    </row>
    <row r="54" spans="1:14" x14ac:dyDescent="0.25">
      <c r="A54" t="s">
        <v>278</v>
      </c>
      <c r="B54" t="s">
        <v>279</v>
      </c>
      <c r="C54" t="s">
        <v>22</v>
      </c>
      <c r="D54">
        <v>46174</v>
      </c>
      <c r="E54" t="s">
        <v>18</v>
      </c>
      <c r="F54" t="s">
        <v>28</v>
      </c>
      <c r="G54" t="s">
        <v>173</v>
      </c>
      <c r="H54" t="s">
        <v>29</v>
      </c>
      <c r="I54">
        <v>1</v>
      </c>
      <c r="J54">
        <v>546653</v>
      </c>
      <c r="K54">
        <v>15000</v>
      </c>
      <c r="L54" t="s">
        <v>137</v>
      </c>
      <c r="M54" t="s">
        <v>161</v>
      </c>
      <c r="N54" t="s">
        <v>139</v>
      </c>
    </row>
    <row r="55" spans="1:14" x14ac:dyDescent="0.25">
      <c r="A55" t="s">
        <v>280</v>
      </c>
      <c r="B55" t="s">
        <v>267</v>
      </c>
      <c r="C55" t="s">
        <v>281</v>
      </c>
      <c r="D55">
        <v>46150</v>
      </c>
      <c r="E55" t="s">
        <v>31</v>
      </c>
      <c r="F55" t="s">
        <v>1346</v>
      </c>
      <c r="G55" t="s">
        <v>98</v>
      </c>
      <c r="H55" t="s">
        <v>35</v>
      </c>
      <c r="I55">
        <v>5</v>
      </c>
      <c r="J55">
        <v>1288190</v>
      </c>
      <c r="K55">
        <v>50000</v>
      </c>
      <c r="L55" t="s">
        <v>137</v>
      </c>
      <c r="M55" t="s">
        <v>165</v>
      </c>
      <c r="N55" t="s">
        <v>139</v>
      </c>
    </row>
    <row r="56" spans="1:14" x14ac:dyDescent="0.25">
      <c r="A56" t="s">
        <v>282</v>
      </c>
      <c r="B56" t="s">
        <v>283</v>
      </c>
      <c r="C56" t="s">
        <v>284</v>
      </c>
      <c r="D56">
        <v>46153</v>
      </c>
      <c r="E56" t="s">
        <v>89</v>
      </c>
      <c r="F56" t="s">
        <v>28</v>
      </c>
      <c r="G56" t="s">
        <v>177</v>
      </c>
      <c r="H56" t="s">
        <v>29</v>
      </c>
      <c r="I56">
        <v>7</v>
      </c>
      <c r="J56">
        <v>1289752</v>
      </c>
      <c r="K56">
        <v>15000</v>
      </c>
      <c r="L56" t="s">
        <v>137</v>
      </c>
      <c r="M56" t="s">
        <v>161</v>
      </c>
      <c r="N56" t="s">
        <v>156</v>
      </c>
    </row>
    <row r="57" spans="1:14" x14ac:dyDescent="0.25">
      <c r="A57" t="s">
        <v>285</v>
      </c>
      <c r="B57" t="s">
        <v>286</v>
      </c>
      <c r="C57" t="s">
        <v>287</v>
      </c>
      <c r="D57">
        <v>46036</v>
      </c>
      <c r="E57" t="s">
        <v>27</v>
      </c>
      <c r="F57" t="s">
        <v>1346</v>
      </c>
      <c r="G57" t="s">
        <v>177</v>
      </c>
      <c r="H57" t="s">
        <v>25</v>
      </c>
      <c r="I57">
        <v>6</v>
      </c>
      <c r="J57">
        <v>406171</v>
      </c>
      <c r="K57">
        <v>35000</v>
      </c>
      <c r="L57" t="s">
        <v>137</v>
      </c>
      <c r="M57" t="s">
        <v>161</v>
      </c>
      <c r="N57" t="s">
        <v>156</v>
      </c>
    </row>
    <row r="58" spans="1:14" x14ac:dyDescent="0.25">
      <c r="A58" t="s">
        <v>288</v>
      </c>
      <c r="B58" t="s">
        <v>289</v>
      </c>
      <c r="C58" t="s">
        <v>146</v>
      </c>
      <c r="D58">
        <v>46042</v>
      </c>
      <c r="E58" t="s">
        <v>31</v>
      </c>
      <c r="F58" t="s">
        <v>28</v>
      </c>
      <c r="G58" t="s">
        <v>147</v>
      </c>
      <c r="H58" t="s">
        <v>25</v>
      </c>
      <c r="I58">
        <v>7</v>
      </c>
      <c r="J58">
        <v>2300823</v>
      </c>
      <c r="K58">
        <v>35000</v>
      </c>
      <c r="L58" t="s">
        <v>137</v>
      </c>
      <c r="M58" t="s">
        <v>161</v>
      </c>
      <c r="N58" t="s">
        <v>139</v>
      </c>
    </row>
    <row r="59" spans="1:14" x14ac:dyDescent="0.25">
      <c r="A59" t="s">
        <v>290</v>
      </c>
      <c r="B59" t="s">
        <v>291</v>
      </c>
      <c r="C59" t="s">
        <v>292</v>
      </c>
      <c r="D59">
        <v>46161</v>
      </c>
      <c r="E59" t="s">
        <v>23</v>
      </c>
      <c r="F59" t="s">
        <v>103</v>
      </c>
      <c r="G59" t="s">
        <v>39</v>
      </c>
      <c r="H59" t="s">
        <v>25</v>
      </c>
      <c r="I59">
        <v>7</v>
      </c>
      <c r="J59">
        <v>2412690</v>
      </c>
      <c r="K59">
        <v>0</v>
      </c>
      <c r="L59" t="s">
        <v>137</v>
      </c>
      <c r="M59" t="s">
        <v>138</v>
      </c>
      <c r="N59" t="s">
        <v>139</v>
      </c>
    </row>
    <row r="60" spans="1:14" x14ac:dyDescent="0.25">
      <c r="A60" t="s">
        <v>293</v>
      </c>
      <c r="B60" t="s">
        <v>294</v>
      </c>
      <c r="C60" t="s">
        <v>223</v>
      </c>
      <c r="D60">
        <v>46140</v>
      </c>
      <c r="E60" t="s">
        <v>34</v>
      </c>
      <c r="F60" t="s">
        <v>143</v>
      </c>
      <c r="G60" t="s">
        <v>39</v>
      </c>
      <c r="H60" t="s">
        <v>32</v>
      </c>
      <c r="I60">
        <v>2</v>
      </c>
      <c r="J60">
        <v>270915</v>
      </c>
      <c r="K60">
        <v>0</v>
      </c>
      <c r="L60" t="s">
        <v>137</v>
      </c>
      <c r="M60" t="s">
        <v>165</v>
      </c>
      <c r="N60" t="s">
        <v>156</v>
      </c>
    </row>
    <row r="61" spans="1:14" x14ac:dyDescent="0.25">
      <c r="A61" t="s">
        <v>295</v>
      </c>
      <c r="B61" t="s">
        <v>296</v>
      </c>
      <c r="C61" t="s">
        <v>297</v>
      </c>
      <c r="D61" t="s">
        <v>1350</v>
      </c>
      <c r="E61" t="s">
        <v>27</v>
      </c>
      <c r="F61" t="s">
        <v>28</v>
      </c>
      <c r="G61" t="s">
        <v>39</v>
      </c>
      <c r="H61" t="s">
        <v>35</v>
      </c>
      <c r="I61">
        <v>5</v>
      </c>
      <c r="J61">
        <v>2164534</v>
      </c>
      <c r="K61">
        <v>0</v>
      </c>
      <c r="L61" t="s">
        <v>137</v>
      </c>
      <c r="M61" t="s">
        <v>138</v>
      </c>
      <c r="N61" t="s">
        <v>156</v>
      </c>
    </row>
    <row r="62" spans="1:14" x14ac:dyDescent="0.25">
      <c r="A62" t="s">
        <v>298</v>
      </c>
      <c r="B62" t="s">
        <v>264</v>
      </c>
      <c r="C62" t="s">
        <v>265</v>
      </c>
      <c r="D62">
        <v>46037</v>
      </c>
      <c r="E62" t="s">
        <v>34</v>
      </c>
      <c r="F62" t="s">
        <v>1346</v>
      </c>
      <c r="G62" t="s">
        <v>136</v>
      </c>
      <c r="H62" t="s">
        <v>20</v>
      </c>
      <c r="I62">
        <v>4</v>
      </c>
      <c r="J62">
        <v>1761586</v>
      </c>
      <c r="K62">
        <v>25000</v>
      </c>
      <c r="L62" t="s">
        <v>137</v>
      </c>
      <c r="M62" t="s">
        <v>138</v>
      </c>
      <c r="N62" t="s">
        <v>156</v>
      </c>
    </row>
    <row r="63" spans="1:14" x14ac:dyDescent="0.25">
      <c r="A63" t="s">
        <v>299</v>
      </c>
      <c r="B63" t="s">
        <v>300</v>
      </c>
      <c r="C63" t="s">
        <v>301</v>
      </c>
      <c r="D63">
        <v>46034</v>
      </c>
      <c r="E63" t="s">
        <v>34</v>
      </c>
      <c r="F63" t="s">
        <v>28</v>
      </c>
      <c r="G63" t="s">
        <v>173</v>
      </c>
      <c r="H63" t="s">
        <v>32</v>
      </c>
      <c r="I63">
        <v>3</v>
      </c>
      <c r="J63">
        <v>657701</v>
      </c>
      <c r="K63">
        <v>25000</v>
      </c>
      <c r="L63" t="s">
        <v>148</v>
      </c>
      <c r="M63" t="s">
        <v>149</v>
      </c>
      <c r="N63" t="s">
        <v>139</v>
      </c>
    </row>
    <row r="64" spans="1:14" x14ac:dyDescent="0.25">
      <c r="A64" t="s">
        <v>302</v>
      </c>
      <c r="B64" t="s">
        <v>212</v>
      </c>
      <c r="C64" t="s">
        <v>213</v>
      </c>
      <c r="D64">
        <v>46128</v>
      </c>
      <c r="E64" t="s">
        <v>34</v>
      </c>
      <c r="F64" t="s">
        <v>160</v>
      </c>
      <c r="G64" t="s">
        <v>169</v>
      </c>
      <c r="H64" t="s">
        <v>20</v>
      </c>
      <c r="I64">
        <v>6</v>
      </c>
      <c r="J64">
        <v>1593330</v>
      </c>
      <c r="K64">
        <v>0</v>
      </c>
      <c r="L64" t="s">
        <v>137</v>
      </c>
      <c r="M64" t="s">
        <v>161</v>
      </c>
      <c r="N64" t="s">
        <v>139</v>
      </c>
    </row>
    <row r="65" spans="1:14" x14ac:dyDescent="0.25">
      <c r="A65" t="s">
        <v>303</v>
      </c>
      <c r="B65" t="s">
        <v>251</v>
      </c>
      <c r="C65" t="s">
        <v>17</v>
      </c>
      <c r="D65">
        <v>46109</v>
      </c>
      <c r="E65" t="s">
        <v>31</v>
      </c>
      <c r="F65" t="s">
        <v>28</v>
      </c>
      <c r="G65" t="s">
        <v>136</v>
      </c>
      <c r="H65" t="s">
        <v>20</v>
      </c>
      <c r="I65">
        <v>5</v>
      </c>
      <c r="J65">
        <v>832105</v>
      </c>
      <c r="K65">
        <v>0</v>
      </c>
      <c r="L65" t="s">
        <v>137</v>
      </c>
      <c r="M65" t="s">
        <v>138</v>
      </c>
      <c r="N65" t="s">
        <v>139</v>
      </c>
    </row>
    <row r="66" spans="1:14" x14ac:dyDescent="0.25">
      <c r="A66" t="s">
        <v>304</v>
      </c>
      <c r="B66" t="s">
        <v>305</v>
      </c>
      <c r="C66" t="s">
        <v>306</v>
      </c>
      <c r="D66">
        <v>46028</v>
      </c>
      <c r="E66" t="s">
        <v>31</v>
      </c>
      <c r="F66" t="s">
        <v>160</v>
      </c>
      <c r="G66" t="s">
        <v>169</v>
      </c>
      <c r="H66" t="s">
        <v>29</v>
      </c>
      <c r="I66">
        <v>5</v>
      </c>
      <c r="K66">
        <v>35000</v>
      </c>
      <c r="L66" t="s">
        <v>137</v>
      </c>
      <c r="M66" t="s">
        <v>138</v>
      </c>
      <c r="N66" t="s">
        <v>139</v>
      </c>
    </row>
    <row r="67" spans="1:14" x14ac:dyDescent="0.25">
      <c r="A67" t="s">
        <v>307</v>
      </c>
      <c r="B67" t="s">
        <v>308</v>
      </c>
      <c r="C67" t="s">
        <v>1351</v>
      </c>
      <c r="D67">
        <v>46151</v>
      </c>
      <c r="E67" t="s">
        <v>18</v>
      </c>
      <c r="F67" t="s">
        <v>28</v>
      </c>
      <c r="G67" t="s">
        <v>169</v>
      </c>
      <c r="H67" t="s">
        <v>20</v>
      </c>
      <c r="I67">
        <v>5</v>
      </c>
      <c r="J67">
        <v>1544131</v>
      </c>
      <c r="K67">
        <v>15000</v>
      </c>
      <c r="L67" t="s">
        <v>137</v>
      </c>
      <c r="M67" t="s">
        <v>309</v>
      </c>
      <c r="N67" t="s">
        <v>156</v>
      </c>
    </row>
    <row r="68" spans="1:14" x14ac:dyDescent="0.25">
      <c r="A68" t="s">
        <v>310</v>
      </c>
      <c r="B68" t="s">
        <v>311</v>
      </c>
      <c r="C68" t="s">
        <v>272</v>
      </c>
      <c r="D68">
        <v>46090</v>
      </c>
      <c r="E68" t="s">
        <v>23</v>
      </c>
      <c r="F68" t="s">
        <v>160</v>
      </c>
      <c r="G68" t="s">
        <v>147</v>
      </c>
      <c r="H68" t="s">
        <v>25</v>
      </c>
      <c r="I68">
        <v>5</v>
      </c>
      <c r="J68">
        <v>319360</v>
      </c>
      <c r="K68">
        <v>25000</v>
      </c>
      <c r="L68" t="s">
        <v>137</v>
      </c>
      <c r="M68" t="s">
        <v>161</v>
      </c>
      <c r="N68" t="s">
        <v>139</v>
      </c>
    </row>
    <row r="69" spans="1:14" x14ac:dyDescent="0.25">
      <c r="A69" t="s">
        <v>312</v>
      </c>
      <c r="B69" t="s">
        <v>313</v>
      </c>
      <c r="C69" t="s">
        <v>314</v>
      </c>
      <c r="D69">
        <v>46168</v>
      </c>
      <c r="E69" t="s">
        <v>34</v>
      </c>
      <c r="F69" t="s">
        <v>1346</v>
      </c>
      <c r="G69" t="s">
        <v>39</v>
      </c>
      <c r="H69" t="s">
        <v>35</v>
      </c>
      <c r="I69">
        <v>4</v>
      </c>
      <c r="J69">
        <v>2347442</v>
      </c>
      <c r="K69">
        <v>35000</v>
      </c>
      <c r="L69" t="s">
        <v>137</v>
      </c>
      <c r="M69" t="s">
        <v>165</v>
      </c>
      <c r="N69" t="s">
        <v>139</v>
      </c>
    </row>
    <row r="70" spans="1:14" x14ac:dyDescent="0.25">
      <c r="A70" t="s">
        <v>315</v>
      </c>
      <c r="B70" t="s">
        <v>316</v>
      </c>
      <c r="C70" t="s">
        <v>317</v>
      </c>
      <c r="D70">
        <v>46129</v>
      </c>
      <c r="E70" t="s">
        <v>27</v>
      </c>
      <c r="F70" t="s">
        <v>143</v>
      </c>
      <c r="G70" t="s">
        <v>173</v>
      </c>
      <c r="H70" t="s">
        <v>35</v>
      </c>
      <c r="I70">
        <v>5</v>
      </c>
      <c r="J70">
        <v>1807372</v>
      </c>
      <c r="K70">
        <v>25000</v>
      </c>
      <c r="L70" t="s">
        <v>137</v>
      </c>
      <c r="M70" t="s">
        <v>138</v>
      </c>
      <c r="N70" t="s">
        <v>156</v>
      </c>
    </row>
    <row r="71" spans="1:14" x14ac:dyDescent="0.25">
      <c r="A71" t="s">
        <v>318</v>
      </c>
      <c r="B71" t="s">
        <v>319</v>
      </c>
      <c r="C71" t="s">
        <v>320</v>
      </c>
      <c r="D71">
        <v>46150</v>
      </c>
      <c r="E71" t="s">
        <v>27</v>
      </c>
      <c r="F71" t="s">
        <v>28</v>
      </c>
      <c r="G71" t="s">
        <v>147</v>
      </c>
      <c r="H71" t="s">
        <v>20</v>
      </c>
      <c r="I71">
        <v>3</v>
      </c>
      <c r="J71">
        <v>1013188</v>
      </c>
      <c r="K71">
        <v>35000</v>
      </c>
      <c r="L71" t="s">
        <v>43</v>
      </c>
      <c r="M71" t="s">
        <v>138</v>
      </c>
      <c r="N71" t="s">
        <v>156</v>
      </c>
    </row>
    <row r="72" spans="1:14" x14ac:dyDescent="0.25">
      <c r="A72" t="s">
        <v>321</v>
      </c>
      <c r="B72" t="s">
        <v>322</v>
      </c>
      <c r="C72" t="s">
        <v>323</v>
      </c>
      <c r="D72">
        <v>46141</v>
      </c>
      <c r="E72" t="s">
        <v>31</v>
      </c>
      <c r="F72" t="s">
        <v>28</v>
      </c>
      <c r="G72" t="s">
        <v>136</v>
      </c>
      <c r="H72" t="s">
        <v>20</v>
      </c>
      <c r="I72">
        <v>2</v>
      </c>
      <c r="J72">
        <v>739681</v>
      </c>
      <c r="K72">
        <v>15000</v>
      </c>
      <c r="L72" t="s">
        <v>214</v>
      </c>
      <c r="M72" t="s">
        <v>138</v>
      </c>
      <c r="N72" t="s">
        <v>156</v>
      </c>
    </row>
    <row r="73" spans="1:14" x14ac:dyDescent="0.25">
      <c r="A73" t="s">
        <v>324</v>
      </c>
      <c r="B73" t="s">
        <v>325</v>
      </c>
      <c r="C73" t="s">
        <v>284</v>
      </c>
      <c r="D73">
        <v>46128</v>
      </c>
      <c r="E73" t="s">
        <v>18</v>
      </c>
      <c r="F73" t="s">
        <v>28</v>
      </c>
      <c r="G73" t="s">
        <v>177</v>
      </c>
      <c r="H73" t="s">
        <v>20</v>
      </c>
      <c r="I73">
        <v>6</v>
      </c>
      <c r="J73">
        <v>1239605</v>
      </c>
      <c r="K73">
        <v>25000</v>
      </c>
      <c r="L73" t="s">
        <v>137</v>
      </c>
      <c r="M73" t="s">
        <v>138</v>
      </c>
      <c r="N73" t="s">
        <v>156</v>
      </c>
    </row>
    <row r="74" spans="1:14" x14ac:dyDescent="0.25">
      <c r="A74" t="s">
        <v>326</v>
      </c>
      <c r="B74" t="s">
        <v>327</v>
      </c>
      <c r="C74" t="s">
        <v>328</v>
      </c>
      <c r="D74">
        <v>46030</v>
      </c>
      <c r="E74" t="s">
        <v>31</v>
      </c>
      <c r="F74" t="s">
        <v>160</v>
      </c>
      <c r="G74" t="s">
        <v>177</v>
      </c>
      <c r="H74" t="s">
        <v>92</v>
      </c>
      <c r="I74">
        <v>4</v>
      </c>
      <c r="J74">
        <v>1150064</v>
      </c>
      <c r="K74">
        <v>25000</v>
      </c>
      <c r="L74" t="s">
        <v>137</v>
      </c>
      <c r="M74" t="s">
        <v>149</v>
      </c>
      <c r="N74" t="s">
        <v>139</v>
      </c>
    </row>
    <row r="75" spans="1:14" x14ac:dyDescent="0.25">
      <c r="A75" t="s">
        <v>329</v>
      </c>
      <c r="B75" t="s">
        <v>330</v>
      </c>
      <c r="C75" t="s">
        <v>331</v>
      </c>
      <c r="D75">
        <v>46030</v>
      </c>
      <c r="E75" t="s">
        <v>23</v>
      </c>
      <c r="F75" t="s">
        <v>28</v>
      </c>
      <c r="G75" t="s">
        <v>173</v>
      </c>
      <c r="H75" t="s">
        <v>20</v>
      </c>
      <c r="I75">
        <v>6</v>
      </c>
      <c r="J75">
        <v>1203794</v>
      </c>
      <c r="K75">
        <v>25000</v>
      </c>
      <c r="L75" t="s">
        <v>137</v>
      </c>
      <c r="M75" t="s">
        <v>138</v>
      </c>
      <c r="N75" t="s">
        <v>156</v>
      </c>
    </row>
    <row r="76" spans="1:14" x14ac:dyDescent="0.25">
      <c r="A76" t="s">
        <v>332</v>
      </c>
      <c r="B76" t="s">
        <v>333</v>
      </c>
      <c r="C76" t="s">
        <v>334</v>
      </c>
      <c r="D76">
        <v>46177</v>
      </c>
      <c r="E76" t="s">
        <v>31</v>
      </c>
      <c r="F76" t="s">
        <v>143</v>
      </c>
      <c r="G76" t="s">
        <v>177</v>
      </c>
      <c r="H76" t="s">
        <v>20</v>
      </c>
      <c r="I76">
        <v>4</v>
      </c>
      <c r="J76">
        <v>1369815</v>
      </c>
      <c r="K76">
        <v>0</v>
      </c>
      <c r="L76" t="s">
        <v>148</v>
      </c>
      <c r="M76" t="s">
        <v>149</v>
      </c>
      <c r="N76" t="s">
        <v>156</v>
      </c>
    </row>
    <row r="77" spans="1:14" x14ac:dyDescent="0.25">
      <c r="A77" t="s">
        <v>335</v>
      </c>
      <c r="B77" t="s">
        <v>336</v>
      </c>
      <c r="C77" t="s">
        <v>337</v>
      </c>
      <c r="D77">
        <v>46193</v>
      </c>
      <c r="E77" t="s">
        <v>34</v>
      </c>
      <c r="F77" t="s">
        <v>1346</v>
      </c>
      <c r="G77" t="s">
        <v>147</v>
      </c>
      <c r="H77" t="s">
        <v>32</v>
      </c>
      <c r="I77">
        <v>4</v>
      </c>
      <c r="J77">
        <v>2323100</v>
      </c>
      <c r="K77">
        <v>25000</v>
      </c>
      <c r="L77" t="s">
        <v>148</v>
      </c>
      <c r="M77" t="s">
        <v>138</v>
      </c>
      <c r="N77" t="s">
        <v>156</v>
      </c>
    </row>
    <row r="78" spans="1:14" x14ac:dyDescent="0.25">
      <c r="A78" t="s">
        <v>338</v>
      </c>
      <c r="B78" t="s">
        <v>339</v>
      </c>
      <c r="C78" t="s">
        <v>340</v>
      </c>
      <c r="D78">
        <v>46131</v>
      </c>
      <c r="E78" t="s">
        <v>31</v>
      </c>
      <c r="F78" t="s">
        <v>28</v>
      </c>
      <c r="G78" t="s">
        <v>136</v>
      </c>
      <c r="H78" t="s">
        <v>35</v>
      </c>
      <c r="I78">
        <v>1</v>
      </c>
      <c r="J78">
        <v>1034393</v>
      </c>
      <c r="K78">
        <v>15000</v>
      </c>
      <c r="L78" t="s">
        <v>137</v>
      </c>
      <c r="M78" t="s">
        <v>149</v>
      </c>
      <c r="N78" t="s">
        <v>156</v>
      </c>
    </row>
    <row r="79" spans="1:14" x14ac:dyDescent="0.25">
      <c r="A79" t="s">
        <v>341</v>
      </c>
      <c r="B79" t="s">
        <v>342</v>
      </c>
      <c r="C79" t="s">
        <v>297</v>
      </c>
      <c r="D79">
        <v>46159</v>
      </c>
      <c r="E79" t="s">
        <v>18</v>
      </c>
      <c r="F79" t="s">
        <v>1346</v>
      </c>
      <c r="G79" t="s">
        <v>177</v>
      </c>
      <c r="H79" t="s">
        <v>25</v>
      </c>
      <c r="I79">
        <v>3</v>
      </c>
      <c r="J79">
        <v>1691626</v>
      </c>
      <c r="K79">
        <v>0</v>
      </c>
      <c r="L79" t="s">
        <v>137</v>
      </c>
      <c r="M79" t="s">
        <v>138</v>
      </c>
      <c r="N79" t="s">
        <v>139</v>
      </c>
    </row>
    <row r="80" spans="1:14" x14ac:dyDescent="0.25">
      <c r="A80" t="s">
        <v>343</v>
      </c>
      <c r="B80" t="s">
        <v>344</v>
      </c>
      <c r="C80" t="s">
        <v>345</v>
      </c>
      <c r="D80">
        <v>46117</v>
      </c>
      <c r="E80" t="s">
        <v>23</v>
      </c>
      <c r="F80" t="s">
        <v>143</v>
      </c>
      <c r="G80" t="s">
        <v>1347</v>
      </c>
      <c r="H80" t="s">
        <v>35</v>
      </c>
      <c r="I80">
        <v>6</v>
      </c>
      <c r="J80">
        <v>1412564</v>
      </c>
      <c r="K80">
        <v>0</v>
      </c>
      <c r="L80" t="s">
        <v>37</v>
      </c>
      <c r="M80" t="s">
        <v>149</v>
      </c>
      <c r="N80" t="s">
        <v>139</v>
      </c>
    </row>
    <row r="81" spans="1:14" x14ac:dyDescent="0.25">
      <c r="A81" t="s">
        <v>346</v>
      </c>
      <c r="B81" t="s">
        <v>296</v>
      </c>
      <c r="C81" t="s">
        <v>297</v>
      </c>
      <c r="D81">
        <v>46186</v>
      </c>
      <c r="E81" t="s">
        <v>31</v>
      </c>
      <c r="F81" t="s">
        <v>1346</v>
      </c>
      <c r="G81" t="s">
        <v>136</v>
      </c>
      <c r="H81" t="s">
        <v>20</v>
      </c>
      <c r="I81">
        <v>5</v>
      </c>
      <c r="J81" t="s">
        <v>347</v>
      </c>
      <c r="K81">
        <v>0</v>
      </c>
      <c r="L81" t="s">
        <v>148</v>
      </c>
      <c r="M81" t="s">
        <v>165</v>
      </c>
      <c r="N81" t="s">
        <v>156</v>
      </c>
    </row>
    <row r="82" spans="1:14" x14ac:dyDescent="0.25">
      <c r="A82" t="s">
        <v>348</v>
      </c>
      <c r="B82" t="s">
        <v>349</v>
      </c>
      <c r="C82" t="s">
        <v>350</v>
      </c>
      <c r="D82">
        <v>46076</v>
      </c>
      <c r="E82" t="s">
        <v>31</v>
      </c>
      <c r="F82" t="s">
        <v>160</v>
      </c>
      <c r="G82" t="s">
        <v>136</v>
      </c>
      <c r="H82" t="s">
        <v>20</v>
      </c>
      <c r="I82">
        <v>6</v>
      </c>
      <c r="J82">
        <v>792041</v>
      </c>
      <c r="K82">
        <v>35000</v>
      </c>
      <c r="L82" t="s">
        <v>137</v>
      </c>
      <c r="M82" t="s">
        <v>165</v>
      </c>
      <c r="N82" t="s">
        <v>139</v>
      </c>
    </row>
    <row r="83" spans="1:14" x14ac:dyDescent="0.25">
      <c r="A83" t="s">
        <v>351</v>
      </c>
      <c r="B83" t="s">
        <v>257</v>
      </c>
      <c r="C83" t="s">
        <v>258</v>
      </c>
      <c r="D83">
        <v>46128</v>
      </c>
      <c r="E83" t="s">
        <v>34</v>
      </c>
      <c r="F83" t="s">
        <v>160</v>
      </c>
      <c r="G83" t="s">
        <v>136</v>
      </c>
      <c r="H83" t="s">
        <v>32</v>
      </c>
      <c r="I83">
        <v>7</v>
      </c>
      <c r="J83">
        <v>1515538</v>
      </c>
      <c r="K83">
        <v>35000</v>
      </c>
      <c r="L83" t="s">
        <v>137</v>
      </c>
      <c r="M83" t="s">
        <v>161</v>
      </c>
      <c r="N83" t="s">
        <v>139</v>
      </c>
    </row>
    <row r="84" spans="1:14" x14ac:dyDescent="0.25">
      <c r="A84" t="s">
        <v>352</v>
      </c>
      <c r="B84" t="s">
        <v>353</v>
      </c>
      <c r="C84" t="s">
        <v>202</v>
      </c>
      <c r="D84">
        <v>46200</v>
      </c>
      <c r="E84" t="s">
        <v>18</v>
      </c>
      <c r="F84" t="s">
        <v>1352</v>
      </c>
      <c r="G84" t="s">
        <v>39</v>
      </c>
      <c r="H84" t="s">
        <v>29</v>
      </c>
      <c r="I84">
        <v>6</v>
      </c>
      <c r="J84">
        <v>234717</v>
      </c>
      <c r="K84">
        <v>0</v>
      </c>
      <c r="L84" t="s">
        <v>137</v>
      </c>
      <c r="M84" t="s">
        <v>138</v>
      </c>
      <c r="N84" t="s">
        <v>139</v>
      </c>
    </row>
    <row r="85" spans="1:14" x14ac:dyDescent="0.25">
      <c r="A85" t="s">
        <v>354</v>
      </c>
      <c r="B85" t="s">
        <v>333</v>
      </c>
      <c r="C85" t="s">
        <v>334</v>
      </c>
      <c r="E85" t="s">
        <v>18</v>
      </c>
      <c r="F85" t="s">
        <v>28</v>
      </c>
      <c r="G85" t="s">
        <v>136</v>
      </c>
      <c r="H85" t="s">
        <v>32</v>
      </c>
      <c r="I85">
        <v>2</v>
      </c>
      <c r="J85">
        <v>464906</v>
      </c>
      <c r="K85">
        <v>0</v>
      </c>
      <c r="L85" t="s">
        <v>137</v>
      </c>
      <c r="M85" t="s">
        <v>138</v>
      </c>
      <c r="N85" t="s">
        <v>139</v>
      </c>
    </row>
    <row r="86" spans="1:14" x14ac:dyDescent="0.25">
      <c r="A86" t="s">
        <v>355</v>
      </c>
      <c r="B86" t="s">
        <v>356</v>
      </c>
      <c r="C86" t="s">
        <v>357</v>
      </c>
      <c r="D86">
        <v>46057</v>
      </c>
      <c r="E86" t="s">
        <v>34</v>
      </c>
      <c r="F86" t="s">
        <v>143</v>
      </c>
      <c r="G86" t="s">
        <v>173</v>
      </c>
      <c r="H86" t="s">
        <v>32</v>
      </c>
      <c r="I86">
        <v>6</v>
      </c>
      <c r="J86">
        <v>1213370</v>
      </c>
      <c r="K86">
        <v>15000</v>
      </c>
      <c r="L86" t="s">
        <v>137</v>
      </c>
      <c r="M86" t="s">
        <v>161</v>
      </c>
      <c r="N86" t="s">
        <v>139</v>
      </c>
    </row>
    <row r="87" spans="1:14" x14ac:dyDescent="0.25">
      <c r="A87" t="s">
        <v>358</v>
      </c>
      <c r="B87" t="s">
        <v>359</v>
      </c>
      <c r="C87" t="s">
        <v>146</v>
      </c>
      <c r="D87">
        <v>46123</v>
      </c>
      <c r="E87" t="s">
        <v>27</v>
      </c>
      <c r="F87" t="s">
        <v>143</v>
      </c>
      <c r="G87" t="s">
        <v>173</v>
      </c>
      <c r="H87" t="s">
        <v>32</v>
      </c>
      <c r="I87">
        <v>2</v>
      </c>
      <c r="J87">
        <v>1702594</v>
      </c>
      <c r="K87">
        <v>50000</v>
      </c>
      <c r="L87" t="s">
        <v>137</v>
      </c>
      <c r="M87" t="s">
        <v>161</v>
      </c>
      <c r="N87" t="s">
        <v>156</v>
      </c>
    </row>
    <row r="88" spans="1:14" x14ac:dyDescent="0.25">
      <c r="A88" t="s">
        <v>360</v>
      </c>
      <c r="B88" t="s">
        <v>233</v>
      </c>
      <c r="C88" t="s">
        <v>36</v>
      </c>
      <c r="D88">
        <v>46202</v>
      </c>
      <c r="E88" t="s">
        <v>18</v>
      </c>
      <c r="F88" t="s">
        <v>160</v>
      </c>
      <c r="G88" t="s">
        <v>136</v>
      </c>
      <c r="H88" t="s">
        <v>29</v>
      </c>
      <c r="I88">
        <v>4</v>
      </c>
      <c r="J88">
        <v>827813</v>
      </c>
      <c r="K88">
        <v>0</v>
      </c>
      <c r="L88" t="s">
        <v>137</v>
      </c>
      <c r="M88" t="s">
        <v>138</v>
      </c>
      <c r="N88" t="s">
        <v>156</v>
      </c>
    </row>
    <row r="89" spans="1:14" x14ac:dyDescent="0.25">
      <c r="A89" t="s">
        <v>361</v>
      </c>
      <c r="B89" t="s">
        <v>276</v>
      </c>
      <c r="C89" t="s">
        <v>277</v>
      </c>
      <c r="D89">
        <v>46157</v>
      </c>
      <c r="E89" t="s">
        <v>18</v>
      </c>
      <c r="F89" t="s">
        <v>143</v>
      </c>
      <c r="G89" t="s">
        <v>136</v>
      </c>
      <c r="H89" t="s">
        <v>25</v>
      </c>
      <c r="I89">
        <v>7</v>
      </c>
      <c r="J89">
        <v>1945188</v>
      </c>
      <c r="K89">
        <v>35000</v>
      </c>
      <c r="L89" t="s">
        <v>137</v>
      </c>
      <c r="M89" t="s">
        <v>161</v>
      </c>
      <c r="N89" t="s">
        <v>139</v>
      </c>
    </row>
    <row r="90" spans="1:14" x14ac:dyDescent="0.25">
      <c r="A90" t="s">
        <v>362</v>
      </c>
      <c r="B90" t="s">
        <v>363</v>
      </c>
      <c r="C90" t="s">
        <v>195</v>
      </c>
      <c r="D90">
        <v>46056</v>
      </c>
      <c r="E90" t="s">
        <v>18</v>
      </c>
      <c r="F90" t="s">
        <v>28</v>
      </c>
      <c r="G90" t="s">
        <v>177</v>
      </c>
      <c r="H90" t="s">
        <v>32</v>
      </c>
      <c r="I90">
        <v>5</v>
      </c>
      <c r="J90">
        <v>1929039</v>
      </c>
      <c r="K90">
        <v>15000</v>
      </c>
      <c r="L90" t="s">
        <v>137</v>
      </c>
      <c r="M90" t="s">
        <v>165</v>
      </c>
      <c r="N90" t="s">
        <v>156</v>
      </c>
    </row>
    <row r="91" spans="1:14" x14ac:dyDescent="0.25">
      <c r="A91" t="s">
        <v>364</v>
      </c>
      <c r="B91" t="s">
        <v>365</v>
      </c>
      <c r="C91" t="s">
        <v>240</v>
      </c>
      <c r="D91">
        <v>46097</v>
      </c>
      <c r="E91" t="s">
        <v>27</v>
      </c>
      <c r="F91" t="s">
        <v>28</v>
      </c>
      <c r="G91" t="s">
        <v>173</v>
      </c>
      <c r="H91" t="s">
        <v>20</v>
      </c>
      <c r="I91">
        <v>5</v>
      </c>
      <c r="J91">
        <v>1218066</v>
      </c>
      <c r="K91">
        <v>15000</v>
      </c>
      <c r="L91" t="s">
        <v>137</v>
      </c>
      <c r="M91" t="s">
        <v>161</v>
      </c>
      <c r="N91" t="s">
        <v>139</v>
      </c>
    </row>
    <row r="92" spans="1:14" x14ac:dyDescent="0.25">
      <c r="A92" t="s">
        <v>366</v>
      </c>
      <c r="B92" t="s">
        <v>330</v>
      </c>
      <c r="C92" t="s">
        <v>1353</v>
      </c>
      <c r="D92">
        <v>46105</v>
      </c>
      <c r="E92" t="s">
        <v>27</v>
      </c>
      <c r="F92" t="s">
        <v>1346</v>
      </c>
      <c r="G92" t="s">
        <v>173</v>
      </c>
      <c r="H92" t="s">
        <v>20</v>
      </c>
      <c r="I92">
        <v>6</v>
      </c>
      <c r="J92">
        <v>1787465</v>
      </c>
      <c r="K92">
        <v>15000</v>
      </c>
      <c r="L92" t="s">
        <v>137</v>
      </c>
      <c r="M92" t="s">
        <v>138</v>
      </c>
      <c r="N92" t="s">
        <v>156</v>
      </c>
    </row>
    <row r="93" spans="1:14" x14ac:dyDescent="0.25">
      <c r="A93" t="s">
        <v>367</v>
      </c>
      <c r="B93" t="s">
        <v>368</v>
      </c>
      <c r="C93" t="s">
        <v>36</v>
      </c>
      <c r="D93">
        <v>46108</v>
      </c>
      <c r="E93" t="s">
        <v>27</v>
      </c>
      <c r="F93" t="s">
        <v>160</v>
      </c>
      <c r="G93" t="s">
        <v>173</v>
      </c>
      <c r="H93" t="s">
        <v>25</v>
      </c>
      <c r="I93">
        <v>3</v>
      </c>
      <c r="J93">
        <v>1104996</v>
      </c>
      <c r="K93">
        <v>35000</v>
      </c>
      <c r="L93" t="s">
        <v>37</v>
      </c>
      <c r="M93" t="s">
        <v>149</v>
      </c>
      <c r="N93" t="s">
        <v>139</v>
      </c>
    </row>
    <row r="94" spans="1:14" x14ac:dyDescent="0.25">
      <c r="A94" t="s">
        <v>369</v>
      </c>
      <c r="B94" t="s">
        <v>370</v>
      </c>
      <c r="C94" t="s">
        <v>180</v>
      </c>
      <c r="D94">
        <v>46124</v>
      </c>
      <c r="E94" t="s">
        <v>18</v>
      </c>
      <c r="F94" t="s">
        <v>28</v>
      </c>
      <c r="G94" t="s">
        <v>136</v>
      </c>
      <c r="H94" t="s">
        <v>32</v>
      </c>
      <c r="I94">
        <v>5</v>
      </c>
      <c r="J94">
        <v>1675672</v>
      </c>
      <c r="K94">
        <v>15000</v>
      </c>
      <c r="L94" t="s">
        <v>137</v>
      </c>
      <c r="N94" t="s">
        <v>156</v>
      </c>
    </row>
    <row r="95" spans="1:14" x14ac:dyDescent="0.25">
      <c r="A95" t="s">
        <v>371</v>
      </c>
      <c r="B95" t="s">
        <v>372</v>
      </c>
      <c r="C95" t="s">
        <v>198</v>
      </c>
      <c r="D95">
        <v>46104</v>
      </c>
      <c r="E95" t="s">
        <v>18</v>
      </c>
      <c r="F95" t="s">
        <v>28</v>
      </c>
      <c r="G95" t="s">
        <v>136</v>
      </c>
      <c r="H95" t="s">
        <v>25</v>
      </c>
      <c r="I95">
        <v>2</v>
      </c>
      <c r="J95">
        <v>2344758</v>
      </c>
      <c r="K95">
        <v>35000</v>
      </c>
      <c r="L95" t="s">
        <v>137</v>
      </c>
      <c r="M95" t="s">
        <v>161</v>
      </c>
      <c r="N95" t="s">
        <v>139</v>
      </c>
    </row>
    <row r="96" spans="1:14" x14ac:dyDescent="0.25">
      <c r="A96" t="s">
        <v>373</v>
      </c>
      <c r="B96" t="s">
        <v>374</v>
      </c>
      <c r="C96" t="s">
        <v>202</v>
      </c>
      <c r="D96" t="s">
        <v>108</v>
      </c>
      <c r="E96" t="s">
        <v>31</v>
      </c>
      <c r="F96" t="s">
        <v>143</v>
      </c>
      <c r="G96" t="s">
        <v>147</v>
      </c>
      <c r="H96" t="s">
        <v>32</v>
      </c>
      <c r="I96">
        <v>3</v>
      </c>
      <c r="J96">
        <v>1226280</v>
      </c>
      <c r="K96">
        <v>50000</v>
      </c>
      <c r="L96" t="s">
        <v>137</v>
      </c>
      <c r="M96" t="s">
        <v>161</v>
      </c>
      <c r="N96" t="s">
        <v>156</v>
      </c>
    </row>
    <row r="97" spans="1:14" x14ac:dyDescent="0.25">
      <c r="A97" t="s">
        <v>375</v>
      </c>
      <c r="B97" t="s">
        <v>376</v>
      </c>
      <c r="C97" t="s">
        <v>261</v>
      </c>
      <c r="D97">
        <v>46061</v>
      </c>
      <c r="E97" t="s">
        <v>31</v>
      </c>
      <c r="F97" t="s">
        <v>28</v>
      </c>
      <c r="G97" t="s">
        <v>173</v>
      </c>
      <c r="H97" t="s">
        <v>32</v>
      </c>
      <c r="I97">
        <v>2</v>
      </c>
      <c r="J97">
        <v>348871</v>
      </c>
      <c r="K97">
        <v>15000</v>
      </c>
      <c r="L97" t="s">
        <v>137</v>
      </c>
      <c r="M97" t="s">
        <v>161</v>
      </c>
      <c r="N97" t="s">
        <v>156</v>
      </c>
    </row>
    <row r="98" spans="1:14" x14ac:dyDescent="0.25">
      <c r="A98" t="s">
        <v>377</v>
      </c>
      <c r="B98" t="s">
        <v>294</v>
      </c>
      <c r="C98" t="s">
        <v>223</v>
      </c>
      <c r="D98">
        <v>46114</v>
      </c>
      <c r="E98" t="s">
        <v>18</v>
      </c>
      <c r="F98" t="s">
        <v>160</v>
      </c>
      <c r="G98" t="s">
        <v>136</v>
      </c>
      <c r="H98" t="s">
        <v>20</v>
      </c>
      <c r="I98">
        <v>4</v>
      </c>
      <c r="J98">
        <v>2472394</v>
      </c>
      <c r="K98">
        <v>35000</v>
      </c>
      <c r="L98" t="s">
        <v>137</v>
      </c>
      <c r="M98" t="s">
        <v>165</v>
      </c>
      <c r="N98" t="s">
        <v>156</v>
      </c>
    </row>
    <row r="99" spans="1:14" x14ac:dyDescent="0.25">
      <c r="A99" t="s">
        <v>378</v>
      </c>
      <c r="B99" t="s">
        <v>379</v>
      </c>
      <c r="C99" t="s">
        <v>380</v>
      </c>
      <c r="D99">
        <v>46095</v>
      </c>
      <c r="E99" t="s">
        <v>27</v>
      </c>
      <c r="F99" t="s">
        <v>143</v>
      </c>
      <c r="G99" t="s">
        <v>147</v>
      </c>
      <c r="H99" t="s">
        <v>20</v>
      </c>
      <c r="I99">
        <v>6</v>
      </c>
      <c r="J99">
        <v>877721</v>
      </c>
      <c r="K99">
        <v>15000</v>
      </c>
      <c r="L99" t="s">
        <v>137</v>
      </c>
      <c r="M99" t="s">
        <v>161</v>
      </c>
      <c r="N99" t="s">
        <v>156</v>
      </c>
    </row>
    <row r="100" spans="1:14" x14ac:dyDescent="0.25">
      <c r="A100" t="s">
        <v>381</v>
      </c>
      <c r="B100" t="s">
        <v>382</v>
      </c>
      <c r="C100" t="s">
        <v>383</v>
      </c>
      <c r="D100">
        <v>46042</v>
      </c>
      <c r="E100" t="s">
        <v>34</v>
      </c>
      <c r="F100" t="s">
        <v>160</v>
      </c>
      <c r="G100" t="s">
        <v>39</v>
      </c>
      <c r="H100" t="s">
        <v>25</v>
      </c>
      <c r="I100">
        <v>6</v>
      </c>
      <c r="J100">
        <v>1152459</v>
      </c>
      <c r="K100">
        <v>35000</v>
      </c>
      <c r="L100" t="s">
        <v>137</v>
      </c>
      <c r="M100" t="s">
        <v>161</v>
      </c>
      <c r="N100" t="s">
        <v>156</v>
      </c>
    </row>
    <row r="101" spans="1:14" x14ac:dyDescent="0.25">
      <c r="A101" t="s">
        <v>384</v>
      </c>
      <c r="B101" t="s">
        <v>385</v>
      </c>
      <c r="C101" t="s">
        <v>176</v>
      </c>
      <c r="D101">
        <v>46105</v>
      </c>
      <c r="E101" t="s">
        <v>31</v>
      </c>
      <c r="F101" t="s">
        <v>28</v>
      </c>
      <c r="G101" t="s">
        <v>169</v>
      </c>
      <c r="H101" t="s">
        <v>25</v>
      </c>
      <c r="I101">
        <v>1</v>
      </c>
      <c r="J101">
        <v>764981</v>
      </c>
      <c r="K101">
        <v>0</v>
      </c>
      <c r="L101" t="s">
        <v>137</v>
      </c>
      <c r="M101" t="s">
        <v>138</v>
      </c>
      <c r="N101" t="s">
        <v>156</v>
      </c>
    </row>
    <row r="102" spans="1:14" x14ac:dyDescent="0.25">
      <c r="A102" t="s">
        <v>386</v>
      </c>
      <c r="B102" t="s">
        <v>387</v>
      </c>
      <c r="C102" t="s">
        <v>301</v>
      </c>
      <c r="D102">
        <v>46034</v>
      </c>
      <c r="E102" t="s">
        <v>18</v>
      </c>
      <c r="F102" t="s">
        <v>143</v>
      </c>
      <c r="G102" t="s">
        <v>173</v>
      </c>
      <c r="H102" t="s">
        <v>25</v>
      </c>
      <c r="I102">
        <v>6</v>
      </c>
      <c r="J102">
        <v>2020447</v>
      </c>
      <c r="K102">
        <v>25000</v>
      </c>
      <c r="L102" t="s">
        <v>37</v>
      </c>
      <c r="M102" t="s">
        <v>149</v>
      </c>
      <c r="N102" t="s">
        <v>139</v>
      </c>
    </row>
    <row r="103" spans="1:14" x14ac:dyDescent="0.25">
      <c r="A103" t="s">
        <v>388</v>
      </c>
      <c r="B103" t="s">
        <v>389</v>
      </c>
      <c r="C103" t="s">
        <v>146</v>
      </c>
      <c r="D103">
        <v>46037</v>
      </c>
      <c r="E103" t="s">
        <v>18</v>
      </c>
      <c r="F103" t="s">
        <v>143</v>
      </c>
      <c r="G103" t="s">
        <v>39</v>
      </c>
      <c r="H103" t="s">
        <v>20</v>
      </c>
      <c r="J103">
        <v>416638</v>
      </c>
      <c r="K103">
        <v>50000</v>
      </c>
      <c r="L103" t="s">
        <v>137</v>
      </c>
      <c r="M103" t="s">
        <v>390</v>
      </c>
      <c r="N103" t="s">
        <v>156</v>
      </c>
    </row>
    <row r="104" spans="1:14" x14ac:dyDescent="0.25">
      <c r="A104" t="s">
        <v>391</v>
      </c>
      <c r="B104" t="s">
        <v>392</v>
      </c>
      <c r="C104" t="s">
        <v>183</v>
      </c>
      <c r="D104">
        <v>46076</v>
      </c>
      <c r="E104" t="s">
        <v>18</v>
      </c>
      <c r="F104" t="s">
        <v>160</v>
      </c>
      <c r="G104" t="s">
        <v>136</v>
      </c>
      <c r="H104" t="s">
        <v>32</v>
      </c>
      <c r="I104">
        <v>7</v>
      </c>
      <c r="J104">
        <v>803422</v>
      </c>
      <c r="K104">
        <v>35000</v>
      </c>
      <c r="L104" t="s">
        <v>137</v>
      </c>
      <c r="M104" t="s">
        <v>138</v>
      </c>
      <c r="N104" t="s">
        <v>139</v>
      </c>
    </row>
    <row r="105" spans="1:14" x14ac:dyDescent="0.25">
      <c r="A105" t="s">
        <v>393</v>
      </c>
      <c r="B105" t="s">
        <v>394</v>
      </c>
      <c r="C105" t="s">
        <v>337</v>
      </c>
      <c r="D105">
        <v>46102</v>
      </c>
      <c r="E105" t="s">
        <v>18</v>
      </c>
      <c r="F105" t="s">
        <v>28</v>
      </c>
      <c r="G105" t="s">
        <v>39</v>
      </c>
      <c r="H105" t="s">
        <v>32</v>
      </c>
      <c r="I105">
        <v>6</v>
      </c>
      <c r="J105">
        <v>670656</v>
      </c>
      <c r="K105">
        <v>25000</v>
      </c>
      <c r="L105" t="s">
        <v>137</v>
      </c>
      <c r="M105" t="s">
        <v>138</v>
      </c>
      <c r="N105" t="s">
        <v>139</v>
      </c>
    </row>
    <row r="106" spans="1:14" x14ac:dyDescent="0.25">
      <c r="A106" t="s">
        <v>395</v>
      </c>
      <c r="B106" t="s">
        <v>396</v>
      </c>
      <c r="C106" t="s">
        <v>246</v>
      </c>
      <c r="D106">
        <v>46167</v>
      </c>
      <c r="E106" t="s">
        <v>18</v>
      </c>
      <c r="F106" t="s">
        <v>28</v>
      </c>
      <c r="G106" t="s">
        <v>169</v>
      </c>
      <c r="H106" t="s">
        <v>32</v>
      </c>
      <c r="I106">
        <v>7</v>
      </c>
      <c r="J106">
        <v>1894486</v>
      </c>
      <c r="K106">
        <v>0</v>
      </c>
      <c r="L106" t="s">
        <v>137</v>
      </c>
      <c r="M106" t="s">
        <v>138</v>
      </c>
      <c r="N106" t="s">
        <v>156</v>
      </c>
    </row>
    <row r="107" spans="1:14" x14ac:dyDescent="0.25">
      <c r="A107" t="s">
        <v>397</v>
      </c>
      <c r="B107" t="s">
        <v>398</v>
      </c>
      <c r="C107" t="s">
        <v>399</v>
      </c>
      <c r="D107">
        <v>46154</v>
      </c>
      <c r="E107" t="s">
        <v>18</v>
      </c>
      <c r="F107" t="s">
        <v>28</v>
      </c>
      <c r="G107" t="s">
        <v>147</v>
      </c>
      <c r="H107" t="s">
        <v>35</v>
      </c>
      <c r="I107">
        <v>6</v>
      </c>
      <c r="J107">
        <v>1553381</v>
      </c>
      <c r="K107">
        <v>35000</v>
      </c>
      <c r="L107" t="s">
        <v>137</v>
      </c>
      <c r="M107" t="s">
        <v>138</v>
      </c>
      <c r="N107" t="s">
        <v>156</v>
      </c>
    </row>
    <row r="108" spans="1:14" x14ac:dyDescent="0.25">
      <c r="A108" t="s">
        <v>400</v>
      </c>
      <c r="B108" t="s">
        <v>401</v>
      </c>
      <c r="C108" t="s">
        <v>189</v>
      </c>
      <c r="D108">
        <v>46142</v>
      </c>
      <c r="E108" t="s">
        <v>99</v>
      </c>
      <c r="F108" t="s">
        <v>1346</v>
      </c>
      <c r="G108" t="s">
        <v>177</v>
      </c>
      <c r="H108" t="s">
        <v>35</v>
      </c>
      <c r="I108">
        <v>7</v>
      </c>
      <c r="J108">
        <v>1954402</v>
      </c>
      <c r="K108">
        <v>0</v>
      </c>
      <c r="L108" t="s">
        <v>262</v>
      </c>
      <c r="M108" t="s">
        <v>161</v>
      </c>
      <c r="N108" t="s">
        <v>139</v>
      </c>
    </row>
    <row r="109" spans="1:14" x14ac:dyDescent="0.25">
      <c r="A109" t="s">
        <v>402</v>
      </c>
      <c r="B109" t="s">
        <v>403</v>
      </c>
      <c r="C109" t="s">
        <v>404</v>
      </c>
      <c r="D109">
        <v>46168</v>
      </c>
      <c r="E109" t="s">
        <v>27</v>
      </c>
      <c r="F109" t="s">
        <v>28</v>
      </c>
      <c r="G109" t="s">
        <v>39</v>
      </c>
      <c r="H109" t="s">
        <v>20</v>
      </c>
      <c r="I109">
        <v>1</v>
      </c>
      <c r="J109">
        <v>320186</v>
      </c>
      <c r="K109">
        <v>50000</v>
      </c>
      <c r="L109" t="s">
        <v>43</v>
      </c>
      <c r="M109" t="s">
        <v>138</v>
      </c>
      <c r="N109" t="s">
        <v>139</v>
      </c>
    </row>
    <row r="110" spans="1:14" x14ac:dyDescent="0.25">
      <c r="A110" t="s">
        <v>405</v>
      </c>
      <c r="B110" t="s">
        <v>406</v>
      </c>
      <c r="C110" t="s">
        <v>328</v>
      </c>
      <c r="D110">
        <v>46168</v>
      </c>
      <c r="E110" t="s">
        <v>23</v>
      </c>
      <c r="F110" t="s">
        <v>160</v>
      </c>
      <c r="G110" t="s">
        <v>169</v>
      </c>
      <c r="H110" t="s">
        <v>90</v>
      </c>
      <c r="I110">
        <v>3</v>
      </c>
      <c r="J110">
        <v>1182754</v>
      </c>
      <c r="K110">
        <v>25000</v>
      </c>
      <c r="L110" t="s">
        <v>137</v>
      </c>
      <c r="M110" t="s">
        <v>407</v>
      </c>
      <c r="N110" t="s">
        <v>156</v>
      </c>
    </row>
    <row r="111" spans="1:14" x14ac:dyDescent="0.25">
      <c r="A111" t="s">
        <v>408</v>
      </c>
      <c r="B111" t="s">
        <v>171</v>
      </c>
      <c r="C111" t="s">
        <v>172</v>
      </c>
      <c r="D111">
        <v>46069</v>
      </c>
      <c r="E111" t="s">
        <v>34</v>
      </c>
      <c r="F111" t="s">
        <v>28</v>
      </c>
      <c r="G111" t="s">
        <v>169</v>
      </c>
      <c r="H111" t="s">
        <v>32</v>
      </c>
      <c r="I111">
        <v>1</v>
      </c>
      <c r="J111">
        <v>1768182</v>
      </c>
      <c r="K111">
        <v>0</v>
      </c>
      <c r="L111" t="s">
        <v>137</v>
      </c>
      <c r="M111" t="s">
        <v>138</v>
      </c>
      <c r="N111" t="s">
        <v>139</v>
      </c>
    </row>
    <row r="112" spans="1:14" x14ac:dyDescent="0.25">
      <c r="A112" t="s">
        <v>409</v>
      </c>
      <c r="B112" t="s">
        <v>410</v>
      </c>
      <c r="C112" t="s">
        <v>411</v>
      </c>
      <c r="D112">
        <v>46070</v>
      </c>
      <c r="E112" t="s">
        <v>23</v>
      </c>
      <c r="F112" t="s">
        <v>28</v>
      </c>
      <c r="G112" t="s">
        <v>147</v>
      </c>
      <c r="H112" t="s">
        <v>20</v>
      </c>
      <c r="I112">
        <v>1</v>
      </c>
      <c r="J112">
        <v>1005284</v>
      </c>
      <c r="K112">
        <v>15000</v>
      </c>
      <c r="L112" t="s">
        <v>137</v>
      </c>
      <c r="M112" t="s">
        <v>138</v>
      </c>
      <c r="N112" t="s">
        <v>156</v>
      </c>
    </row>
    <row r="113" spans="1:14" x14ac:dyDescent="0.25">
      <c r="A113" t="s">
        <v>412</v>
      </c>
      <c r="B113" t="s">
        <v>413</v>
      </c>
      <c r="C113" t="s">
        <v>210</v>
      </c>
      <c r="D113">
        <v>46052</v>
      </c>
      <c r="E113" t="s">
        <v>27</v>
      </c>
      <c r="F113" t="s">
        <v>28</v>
      </c>
      <c r="G113" t="s">
        <v>136</v>
      </c>
      <c r="H113" t="s">
        <v>35</v>
      </c>
      <c r="I113">
        <v>6</v>
      </c>
      <c r="J113">
        <v>175803</v>
      </c>
      <c r="K113">
        <v>15000</v>
      </c>
      <c r="L113" t="s">
        <v>137</v>
      </c>
      <c r="M113" t="s">
        <v>138</v>
      </c>
      <c r="N113" t="s">
        <v>139</v>
      </c>
    </row>
    <row r="114" spans="1:14" x14ac:dyDescent="0.25">
      <c r="A114" t="s">
        <v>414</v>
      </c>
      <c r="B114" t="s">
        <v>209</v>
      </c>
      <c r="C114" t="s">
        <v>210</v>
      </c>
      <c r="D114">
        <v>46195</v>
      </c>
      <c r="E114" t="s">
        <v>23</v>
      </c>
      <c r="F114" t="s">
        <v>160</v>
      </c>
      <c r="G114" t="s">
        <v>169</v>
      </c>
      <c r="H114" t="s">
        <v>29</v>
      </c>
      <c r="I114">
        <v>1</v>
      </c>
      <c r="J114">
        <v>1776738</v>
      </c>
      <c r="K114">
        <v>25000</v>
      </c>
      <c r="L114" t="s">
        <v>137</v>
      </c>
      <c r="M114" t="s">
        <v>161</v>
      </c>
      <c r="N114" t="s">
        <v>156</v>
      </c>
    </row>
    <row r="115" spans="1:14" x14ac:dyDescent="0.25">
      <c r="A115" t="s">
        <v>415</v>
      </c>
      <c r="B115" t="s">
        <v>416</v>
      </c>
      <c r="C115" t="s">
        <v>350</v>
      </c>
      <c r="D115">
        <v>46146</v>
      </c>
      <c r="E115" t="s">
        <v>91</v>
      </c>
      <c r="F115" t="s">
        <v>1346</v>
      </c>
      <c r="G115" t="s">
        <v>39</v>
      </c>
      <c r="H115" t="s">
        <v>29</v>
      </c>
      <c r="I115">
        <v>4</v>
      </c>
      <c r="J115">
        <v>728820</v>
      </c>
      <c r="K115">
        <v>15000</v>
      </c>
      <c r="L115" t="s">
        <v>417</v>
      </c>
      <c r="M115" t="s">
        <v>165</v>
      </c>
      <c r="N115" t="s">
        <v>139</v>
      </c>
    </row>
    <row r="116" spans="1:14" x14ac:dyDescent="0.25">
      <c r="A116" t="s">
        <v>418</v>
      </c>
      <c r="B116" t="s">
        <v>255</v>
      </c>
      <c r="C116" t="s">
        <v>33</v>
      </c>
      <c r="D116">
        <v>46028</v>
      </c>
      <c r="E116" t="s">
        <v>31</v>
      </c>
      <c r="F116" t="s">
        <v>28</v>
      </c>
      <c r="G116" t="s">
        <v>1354</v>
      </c>
      <c r="H116" t="s">
        <v>32</v>
      </c>
      <c r="I116">
        <v>2</v>
      </c>
      <c r="J116">
        <v>608463</v>
      </c>
      <c r="K116">
        <v>15000</v>
      </c>
      <c r="L116" t="s">
        <v>137</v>
      </c>
      <c r="M116" t="s">
        <v>138</v>
      </c>
      <c r="N116" t="s">
        <v>156</v>
      </c>
    </row>
    <row r="117" spans="1:14" x14ac:dyDescent="0.25">
      <c r="A117" t="s">
        <v>419</v>
      </c>
      <c r="B117" t="s">
        <v>316</v>
      </c>
      <c r="C117" t="s">
        <v>317</v>
      </c>
      <c r="D117">
        <v>46098</v>
      </c>
      <c r="E117" t="s">
        <v>31</v>
      </c>
      <c r="F117" t="s">
        <v>28</v>
      </c>
      <c r="G117" t="s">
        <v>39</v>
      </c>
      <c r="H117" t="s">
        <v>107</v>
      </c>
      <c r="I117">
        <v>3</v>
      </c>
      <c r="J117">
        <v>1763048</v>
      </c>
      <c r="K117">
        <v>0</v>
      </c>
      <c r="L117" t="s">
        <v>137</v>
      </c>
      <c r="M117" t="s">
        <v>138</v>
      </c>
      <c r="N117" t="s">
        <v>139</v>
      </c>
    </row>
    <row r="118" spans="1:14" x14ac:dyDescent="0.25">
      <c r="A118" t="s">
        <v>420</v>
      </c>
      <c r="B118" t="s">
        <v>421</v>
      </c>
      <c r="C118" t="s">
        <v>340</v>
      </c>
      <c r="D118">
        <v>46147</v>
      </c>
      <c r="E118" t="s">
        <v>31</v>
      </c>
      <c r="F118" t="s">
        <v>143</v>
      </c>
      <c r="G118" t="s">
        <v>169</v>
      </c>
      <c r="H118" t="s">
        <v>20</v>
      </c>
      <c r="I118">
        <v>5</v>
      </c>
      <c r="J118">
        <v>1796380</v>
      </c>
      <c r="K118">
        <v>35000</v>
      </c>
      <c r="L118" t="s">
        <v>137</v>
      </c>
      <c r="M118" t="s">
        <v>138</v>
      </c>
      <c r="N118" t="s">
        <v>156</v>
      </c>
    </row>
    <row r="119" spans="1:14" x14ac:dyDescent="0.25">
      <c r="A119" t="s">
        <v>422</v>
      </c>
      <c r="B119" t="s">
        <v>255</v>
      </c>
      <c r="C119" t="s">
        <v>33</v>
      </c>
      <c r="D119">
        <v>46170</v>
      </c>
      <c r="E119" t="s">
        <v>31</v>
      </c>
      <c r="F119" t="s">
        <v>160</v>
      </c>
      <c r="G119" t="s">
        <v>39</v>
      </c>
      <c r="H119" t="s">
        <v>35</v>
      </c>
      <c r="I119">
        <v>1</v>
      </c>
      <c r="J119">
        <v>1444771</v>
      </c>
      <c r="K119">
        <v>50000</v>
      </c>
      <c r="L119" t="s">
        <v>137</v>
      </c>
      <c r="M119" t="s">
        <v>138</v>
      </c>
      <c r="N119" t="s">
        <v>139</v>
      </c>
    </row>
    <row r="120" spans="1:14" x14ac:dyDescent="0.25">
      <c r="A120" t="s">
        <v>423</v>
      </c>
      <c r="B120" t="s">
        <v>204</v>
      </c>
      <c r="C120" t="s">
        <v>205</v>
      </c>
      <c r="D120" t="s">
        <v>1355</v>
      </c>
      <c r="E120" t="s">
        <v>34</v>
      </c>
      <c r="F120" t="s">
        <v>103</v>
      </c>
      <c r="G120" t="s">
        <v>177</v>
      </c>
      <c r="H120" t="s">
        <v>35</v>
      </c>
      <c r="I120">
        <v>2</v>
      </c>
      <c r="J120">
        <v>1949681</v>
      </c>
      <c r="K120">
        <v>0</v>
      </c>
      <c r="L120" t="s">
        <v>137</v>
      </c>
      <c r="M120" t="s">
        <v>161</v>
      </c>
      <c r="N120" t="s">
        <v>156</v>
      </c>
    </row>
    <row r="121" spans="1:14" x14ac:dyDescent="0.25">
      <c r="A121" t="s">
        <v>424</v>
      </c>
      <c r="B121" t="s">
        <v>305</v>
      </c>
      <c r="C121" t="s">
        <v>306</v>
      </c>
      <c r="D121">
        <v>46198</v>
      </c>
      <c r="E121" t="s">
        <v>34</v>
      </c>
      <c r="F121" t="s">
        <v>28</v>
      </c>
      <c r="G121" t="s">
        <v>39</v>
      </c>
      <c r="H121" t="s">
        <v>25</v>
      </c>
      <c r="I121">
        <v>7</v>
      </c>
      <c r="J121">
        <v>1542510</v>
      </c>
      <c r="K121">
        <v>50000</v>
      </c>
      <c r="L121" t="s">
        <v>148</v>
      </c>
      <c r="M121" t="s">
        <v>138</v>
      </c>
      <c r="N121" t="s">
        <v>139</v>
      </c>
    </row>
    <row r="122" spans="1:14" x14ac:dyDescent="0.25">
      <c r="A122" t="s">
        <v>425</v>
      </c>
      <c r="B122" t="s">
        <v>389</v>
      </c>
      <c r="C122" t="s">
        <v>146</v>
      </c>
      <c r="D122">
        <v>46064</v>
      </c>
      <c r="E122" t="s">
        <v>18</v>
      </c>
      <c r="F122" t="s">
        <v>143</v>
      </c>
      <c r="G122" t="s">
        <v>177</v>
      </c>
      <c r="H122" t="s">
        <v>29</v>
      </c>
      <c r="I122">
        <v>6</v>
      </c>
      <c r="J122" t="s">
        <v>426</v>
      </c>
      <c r="K122">
        <v>25000</v>
      </c>
      <c r="L122" t="s">
        <v>137</v>
      </c>
      <c r="M122" t="s">
        <v>138</v>
      </c>
      <c r="N122" t="s">
        <v>139</v>
      </c>
    </row>
    <row r="123" spans="1:14" x14ac:dyDescent="0.25">
      <c r="A123" t="s">
        <v>427</v>
      </c>
      <c r="B123" t="s">
        <v>286</v>
      </c>
      <c r="C123" t="s">
        <v>287</v>
      </c>
      <c r="D123">
        <v>46129</v>
      </c>
      <c r="E123" t="s">
        <v>23</v>
      </c>
      <c r="F123" t="s">
        <v>1346</v>
      </c>
      <c r="G123" t="s">
        <v>1347</v>
      </c>
      <c r="H123" t="s">
        <v>25</v>
      </c>
      <c r="I123">
        <v>2</v>
      </c>
      <c r="J123">
        <v>2190833</v>
      </c>
      <c r="K123">
        <v>25000</v>
      </c>
      <c r="L123" t="s">
        <v>137</v>
      </c>
      <c r="M123" t="s">
        <v>161</v>
      </c>
      <c r="N123" t="s">
        <v>156</v>
      </c>
    </row>
    <row r="124" spans="1:14" x14ac:dyDescent="0.25">
      <c r="A124" t="s">
        <v>428</v>
      </c>
      <c r="B124" t="s">
        <v>429</v>
      </c>
      <c r="C124" t="s">
        <v>164</v>
      </c>
      <c r="D124">
        <v>46151</v>
      </c>
      <c r="E124" t="s">
        <v>23</v>
      </c>
      <c r="F124" t="s">
        <v>143</v>
      </c>
      <c r="G124" t="s">
        <v>39</v>
      </c>
      <c r="H124" t="s">
        <v>25</v>
      </c>
      <c r="I124">
        <v>3</v>
      </c>
      <c r="J124">
        <v>254091</v>
      </c>
      <c r="K124">
        <v>0</v>
      </c>
      <c r="L124" t="s">
        <v>137</v>
      </c>
      <c r="M124" t="s">
        <v>138</v>
      </c>
      <c r="N124" t="s">
        <v>139</v>
      </c>
    </row>
    <row r="125" spans="1:14" x14ac:dyDescent="0.25">
      <c r="A125" t="s">
        <v>430</v>
      </c>
      <c r="B125" t="s">
        <v>431</v>
      </c>
      <c r="C125" t="s">
        <v>340</v>
      </c>
      <c r="D125">
        <v>46113</v>
      </c>
      <c r="E125" t="s">
        <v>27</v>
      </c>
      <c r="F125" t="s">
        <v>160</v>
      </c>
      <c r="G125" t="s">
        <v>169</v>
      </c>
      <c r="H125" t="s">
        <v>20</v>
      </c>
      <c r="I125">
        <v>3</v>
      </c>
      <c r="J125">
        <v>315774</v>
      </c>
      <c r="K125">
        <v>50000</v>
      </c>
      <c r="L125" t="s">
        <v>148</v>
      </c>
      <c r="M125" t="s">
        <v>149</v>
      </c>
      <c r="N125" t="s">
        <v>139</v>
      </c>
    </row>
    <row r="126" spans="1:14" x14ac:dyDescent="0.25">
      <c r="A126" t="s">
        <v>432</v>
      </c>
      <c r="B126" t="s">
        <v>389</v>
      </c>
      <c r="C126" t="s">
        <v>146</v>
      </c>
      <c r="D126">
        <v>46140</v>
      </c>
      <c r="E126" t="s">
        <v>23</v>
      </c>
      <c r="F126" t="s">
        <v>160</v>
      </c>
      <c r="G126" t="s">
        <v>147</v>
      </c>
      <c r="H126" t="s">
        <v>20</v>
      </c>
      <c r="I126">
        <v>7</v>
      </c>
      <c r="J126">
        <v>585277</v>
      </c>
      <c r="K126">
        <v>0</v>
      </c>
      <c r="L126" t="s">
        <v>137</v>
      </c>
      <c r="M126" t="s">
        <v>165</v>
      </c>
      <c r="N126" t="s">
        <v>156</v>
      </c>
    </row>
    <row r="127" spans="1:14" x14ac:dyDescent="0.25">
      <c r="A127" t="s">
        <v>433</v>
      </c>
      <c r="B127" t="s">
        <v>434</v>
      </c>
      <c r="C127" t="s">
        <v>435</v>
      </c>
      <c r="D127">
        <v>46053</v>
      </c>
      <c r="E127" t="s">
        <v>27</v>
      </c>
      <c r="F127" t="s">
        <v>101</v>
      </c>
      <c r="G127" t="s">
        <v>169</v>
      </c>
      <c r="H127" t="s">
        <v>20</v>
      </c>
      <c r="I127">
        <v>2</v>
      </c>
      <c r="J127">
        <v>981452</v>
      </c>
      <c r="K127">
        <v>25000</v>
      </c>
      <c r="L127" t="s">
        <v>137</v>
      </c>
      <c r="M127" t="s">
        <v>138</v>
      </c>
      <c r="N127" t="s">
        <v>156</v>
      </c>
    </row>
    <row r="128" spans="1:14" x14ac:dyDescent="0.25">
      <c r="A128" t="s">
        <v>436</v>
      </c>
      <c r="B128" t="s">
        <v>437</v>
      </c>
      <c r="C128" t="s">
        <v>1356</v>
      </c>
      <c r="D128">
        <v>46116</v>
      </c>
      <c r="E128" t="s">
        <v>23</v>
      </c>
      <c r="F128" t="s">
        <v>143</v>
      </c>
      <c r="G128" t="s">
        <v>39</v>
      </c>
      <c r="H128" t="s">
        <v>25</v>
      </c>
      <c r="I128">
        <v>1</v>
      </c>
      <c r="J128">
        <v>1523445</v>
      </c>
      <c r="K128">
        <v>15000</v>
      </c>
      <c r="L128" t="s">
        <v>148</v>
      </c>
      <c r="M128" t="s">
        <v>165</v>
      </c>
      <c r="N128" t="s">
        <v>139</v>
      </c>
    </row>
    <row r="129" spans="1:14" x14ac:dyDescent="0.25">
      <c r="A129" t="s">
        <v>438</v>
      </c>
      <c r="B129" t="s">
        <v>264</v>
      </c>
      <c r="C129" t="s">
        <v>265</v>
      </c>
      <c r="D129">
        <v>46066</v>
      </c>
      <c r="E129" t="s">
        <v>18</v>
      </c>
      <c r="F129" t="s">
        <v>143</v>
      </c>
      <c r="G129" t="s">
        <v>147</v>
      </c>
      <c r="H129" t="s">
        <v>32</v>
      </c>
      <c r="I129">
        <v>3</v>
      </c>
      <c r="J129">
        <v>477496</v>
      </c>
      <c r="K129">
        <v>25000</v>
      </c>
      <c r="L129" t="s">
        <v>137</v>
      </c>
      <c r="M129" t="s">
        <v>138</v>
      </c>
      <c r="N129" t="s">
        <v>156</v>
      </c>
    </row>
    <row r="130" spans="1:14" x14ac:dyDescent="0.25">
      <c r="A130" t="s">
        <v>439</v>
      </c>
      <c r="B130" t="s">
        <v>440</v>
      </c>
      <c r="C130" t="s">
        <v>441</v>
      </c>
      <c r="D130">
        <v>46132</v>
      </c>
      <c r="E130" t="s">
        <v>23</v>
      </c>
      <c r="F130" t="s">
        <v>28</v>
      </c>
      <c r="G130" t="s">
        <v>177</v>
      </c>
      <c r="H130" t="s">
        <v>20</v>
      </c>
      <c r="I130">
        <v>4</v>
      </c>
      <c r="J130">
        <v>1853964</v>
      </c>
      <c r="K130">
        <v>35000</v>
      </c>
      <c r="L130" t="s">
        <v>37</v>
      </c>
      <c r="M130" t="s">
        <v>165</v>
      </c>
      <c r="N130" t="s">
        <v>156</v>
      </c>
    </row>
    <row r="131" spans="1:14" x14ac:dyDescent="0.25">
      <c r="A131" t="s">
        <v>442</v>
      </c>
      <c r="B131" t="s">
        <v>443</v>
      </c>
      <c r="C131" t="s">
        <v>246</v>
      </c>
      <c r="D131">
        <v>46109</v>
      </c>
      <c r="E131" t="s">
        <v>23</v>
      </c>
      <c r="F131" t="s">
        <v>143</v>
      </c>
      <c r="G131" t="s">
        <v>147</v>
      </c>
      <c r="H131" t="s">
        <v>20</v>
      </c>
      <c r="I131">
        <v>7</v>
      </c>
      <c r="J131">
        <v>1440386</v>
      </c>
      <c r="K131">
        <v>35000</v>
      </c>
      <c r="L131" t="s">
        <v>137</v>
      </c>
      <c r="M131" t="s">
        <v>161</v>
      </c>
      <c r="N131" t="s">
        <v>139</v>
      </c>
    </row>
    <row r="132" spans="1:14" x14ac:dyDescent="0.25">
      <c r="A132" t="s">
        <v>444</v>
      </c>
      <c r="B132" t="s">
        <v>445</v>
      </c>
      <c r="C132" t="s">
        <v>446</v>
      </c>
      <c r="D132">
        <v>46125</v>
      </c>
      <c r="E132" t="s">
        <v>23</v>
      </c>
      <c r="F132" t="s">
        <v>1346</v>
      </c>
      <c r="G132" t="s">
        <v>147</v>
      </c>
      <c r="H132" t="s">
        <v>35</v>
      </c>
      <c r="I132">
        <v>6</v>
      </c>
      <c r="J132">
        <v>2442010</v>
      </c>
      <c r="K132">
        <v>25000</v>
      </c>
      <c r="L132" t="s">
        <v>137</v>
      </c>
      <c r="M132" t="s">
        <v>165</v>
      </c>
      <c r="N132" t="s">
        <v>156</v>
      </c>
    </row>
    <row r="133" spans="1:14" x14ac:dyDescent="0.25">
      <c r="A133" t="s">
        <v>447</v>
      </c>
      <c r="B133" t="s">
        <v>448</v>
      </c>
      <c r="C133" t="s">
        <v>449</v>
      </c>
      <c r="D133">
        <v>46126</v>
      </c>
      <c r="E133" t="s">
        <v>31</v>
      </c>
      <c r="F133" t="s">
        <v>1346</v>
      </c>
      <c r="G133" t="s">
        <v>169</v>
      </c>
      <c r="H133" t="s">
        <v>32</v>
      </c>
      <c r="I133">
        <v>5</v>
      </c>
      <c r="K133">
        <v>15000</v>
      </c>
      <c r="L133" t="s">
        <v>137</v>
      </c>
      <c r="M133" t="s">
        <v>138</v>
      </c>
      <c r="N133" t="s">
        <v>156</v>
      </c>
    </row>
    <row r="134" spans="1:14" x14ac:dyDescent="0.25">
      <c r="A134" t="s">
        <v>450</v>
      </c>
      <c r="B134" t="s">
        <v>451</v>
      </c>
      <c r="C134" t="s">
        <v>452</v>
      </c>
      <c r="D134">
        <v>46100</v>
      </c>
      <c r="E134" t="s">
        <v>18</v>
      </c>
      <c r="F134" t="s">
        <v>1346</v>
      </c>
      <c r="G134" t="s">
        <v>177</v>
      </c>
      <c r="H134" t="s">
        <v>20</v>
      </c>
      <c r="I134">
        <v>5</v>
      </c>
      <c r="J134">
        <v>473499</v>
      </c>
      <c r="K134">
        <v>0</v>
      </c>
      <c r="L134" t="s">
        <v>137</v>
      </c>
      <c r="M134" t="s">
        <v>138</v>
      </c>
      <c r="N134" t="s">
        <v>139</v>
      </c>
    </row>
    <row r="135" spans="1:14" x14ac:dyDescent="0.25">
      <c r="A135" t="s">
        <v>453</v>
      </c>
      <c r="B135" t="s">
        <v>336</v>
      </c>
      <c r="C135" t="s">
        <v>1357</v>
      </c>
      <c r="D135">
        <v>46110</v>
      </c>
      <c r="E135" t="s">
        <v>34</v>
      </c>
      <c r="F135" t="s">
        <v>28</v>
      </c>
      <c r="G135" t="s">
        <v>147</v>
      </c>
      <c r="H135" t="s">
        <v>20</v>
      </c>
      <c r="I135">
        <v>1</v>
      </c>
      <c r="J135">
        <v>791203</v>
      </c>
      <c r="K135">
        <v>0</v>
      </c>
      <c r="L135" t="s">
        <v>148</v>
      </c>
      <c r="M135" t="s">
        <v>138</v>
      </c>
      <c r="N135" t="s">
        <v>156</v>
      </c>
    </row>
    <row r="136" spans="1:14" x14ac:dyDescent="0.25">
      <c r="A136" t="s">
        <v>454</v>
      </c>
      <c r="B136" t="s">
        <v>455</v>
      </c>
      <c r="C136" t="s">
        <v>456</v>
      </c>
      <c r="D136">
        <v>46118</v>
      </c>
      <c r="E136" t="s">
        <v>23</v>
      </c>
      <c r="F136" t="s">
        <v>28</v>
      </c>
      <c r="G136" t="s">
        <v>136</v>
      </c>
      <c r="H136" t="s">
        <v>35</v>
      </c>
      <c r="I136">
        <v>3</v>
      </c>
      <c r="J136">
        <v>1209497</v>
      </c>
      <c r="K136">
        <v>50000</v>
      </c>
      <c r="L136" t="s">
        <v>137</v>
      </c>
      <c r="M136" t="s">
        <v>138</v>
      </c>
      <c r="N136" t="s">
        <v>156</v>
      </c>
    </row>
    <row r="137" spans="1:14" x14ac:dyDescent="0.25">
      <c r="A137" t="s">
        <v>457</v>
      </c>
      <c r="B137" t="s">
        <v>353</v>
      </c>
      <c r="C137" t="s">
        <v>202</v>
      </c>
      <c r="D137">
        <v>46109</v>
      </c>
      <c r="E137" t="s">
        <v>27</v>
      </c>
      <c r="F137" t="s">
        <v>143</v>
      </c>
      <c r="G137" t="s">
        <v>136</v>
      </c>
      <c r="H137" t="s">
        <v>25</v>
      </c>
      <c r="I137">
        <v>5</v>
      </c>
      <c r="J137">
        <v>1110263</v>
      </c>
      <c r="K137">
        <v>50000</v>
      </c>
      <c r="L137" t="s">
        <v>137</v>
      </c>
      <c r="M137" t="s">
        <v>149</v>
      </c>
      <c r="N137" t="s">
        <v>139</v>
      </c>
    </row>
    <row r="138" spans="1:14" x14ac:dyDescent="0.25">
      <c r="A138" t="s">
        <v>458</v>
      </c>
      <c r="B138" t="s">
        <v>459</v>
      </c>
      <c r="C138" t="s">
        <v>317</v>
      </c>
      <c r="D138">
        <v>46169</v>
      </c>
      <c r="E138" t="s">
        <v>27</v>
      </c>
      <c r="F138" t="s">
        <v>143</v>
      </c>
      <c r="G138" t="s">
        <v>136</v>
      </c>
      <c r="H138" t="s">
        <v>32</v>
      </c>
      <c r="I138">
        <v>5</v>
      </c>
      <c r="J138">
        <v>707082</v>
      </c>
      <c r="K138">
        <v>35000</v>
      </c>
      <c r="L138" t="s">
        <v>137</v>
      </c>
      <c r="M138" t="s">
        <v>161</v>
      </c>
      <c r="N138" t="s">
        <v>156</v>
      </c>
    </row>
    <row r="139" spans="1:14" x14ac:dyDescent="0.25">
      <c r="A139" t="s">
        <v>460</v>
      </c>
      <c r="B139" t="s">
        <v>219</v>
      </c>
      <c r="C139" t="s">
        <v>220</v>
      </c>
      <c r="D139">
        <v>46131</v>
      </c>
      <c r="E139" t="s">
        <v>31</v>
      </c>
      <c r="F139" t="s">
        <v>143</v>
      </c>
      <c r="G139" t="s">
        <v>39</v>
      </c>
      <c r="H139" t="s">
        <v>20</v>
      </c>
      <c r="I139">
        <v>1</v>
      </c>
      <c r="J139">
        <v>1848275</v>
      </c>
      <c r="K139">
        <v>0</v>
      </c>
      <c r="L139" t="s">
        <v>137</v>
      </c>
      <c r="M139" t="s">
        <v>165</v>
      </c>
      <c r="N139" t="s">
        <v>139</v>
      </c>
    </row>
    <row r="140" spans="1:14" x14ac:dyDescent="0.25">
      <c r="A140" t="s">
        <v>461</v>
      </c>
      <c r="B140" t="s">
        <v>462</v>
      </c>
      <c r="C140" t="s">
        <v>202</v>
      </c>
      <c r="D140">
        <v>46157</v>
      </c>
      <c r="E140" t="s">
        <v>34</v>
      </c>
      <c r="F140" t="s">
        <v>28</v>
      </c>
      <c r="G140" t="s">
        <v>169</v>
      </c>
      <c r="H140" t="s">
        <v>32</v>
      </c>
      <c r="I140">
        <v>5</v>
      </c>
      <c r="J140">
        <v>1809271</v>
      </c>
      <c r="K140">
        <v>50000</v>
      </c>
      <c r="L140" t="s">
        <v>137</v>
      </c>
      <c r="M140" t="s">
        <v>138</v>
      </c>
      <c r="N140" t="s">
        <v>139</v>
      </c>
    </row>
    <row r="141" spans="1:14" x14ac:dyDescent="0.25">
      <c r="A141" t="s">
        <v>463</v>
      </c>
      <c r="B141" t="s">
        <v>209</v>
      </c>
      <c r="C141" t="s">
        <v>210</v>
      </c>
      <c r="D141">
        <v>46148</v>
      </c>
      <c r="E141" t="s">
        <v>31</v>
      </c>
      <c r="F141" t="s">
        <v>143</v>
      </c>
      <c r="G141" t="s">
        <v>169</v>
      </c>
      <c r="H141" t="s">
        <v>35</v>
      </c>
      <c r="I141">
        <v>2</v>
      </c>
      <c r="J141">
        <v>1868699</v>
      </c>
      <c r="K141">
        <v>15000</v>
      </c>
      <c r="L141" t="s">
        <v>137</v>
      </c>
      <c r="M141" t="s">
        <v>138</v>
      </c>
      <c r="N141" t="s">
        <v>156</v>
      </c>
    </row>
    <row r="142" spans="1:14" x14ac:dyDescent="0.25">
      <c r="A142" t="s">
        <v>464</v>
      </c>
      <c r="B142" t="s">
        <v>279</v>
      </c>
      <c r="C142" t="s">
        <v>22</v>
      </c>
      <c r="D142">
        <v>46077</v>
      </c>
      <c r="E142" t="s">
        <v>34</v>
      </c>
      <c r="F142" t="s">
        <v>160</v>
      </c>
      <c r="G142" t="s">
        <v>147</v>
      </c>
      <c r="H142" t="s">
        <v>32</v>
      </c>
      <c r="I142">
        <v>1</v>
      </c>
      <c r="J142">
        <v>2030221</v>
      </c>
      <c r="K142">
        <v>35000</v>
      </c>
      <c r="L142" t="s">
        <v>137</v>
      </c>
      <c r="M142" t="s">
        <v>149</v>
      </c>
      <c r="N142" t="s">
        <v>156</v>
      </c>
    </row>
    <row r="143" spans="1:14" x14ac:dyDescent="0.25">
      <c r="A143" t="s">
        <v>465</v>
      </c>
      <c r="B143" t="s">
        <v>235</v>
      </c>
      <c r="C143" t="s">
        <v>142</v>
      </c>
      <c r="D143" t="s">
        <v>1358</v>
      </c>
      <c r="E143" t="s">
        <v>34</v>
      </c>
      <c r="F143" t="s">
        <v>1346</v>
      </c>
      <c r="G143" t="s">
        <v>136</v>
      </c>
      <c r="H143" t="s">
        <v>32</v>
      </c>
      <c r="I143">
        <v>5</v>
      </c>
      <c r="J143">
        <v>1334630</v>
      </c>
      <c r="K143">
        <v>0</v>
      </c>
      <c r="L143" t="s">
        <v>137</v>
      </c>
      <c r="M143" t="s">
        <v>138</v>
      </c>
      <c r="N143" t="s">
        <v>156</v>
      </c>
    </row>
    <row r="144" spans="1:14" x14ac:dyDescent="0.25">
      <c r="A144" t="s">
        <v>466</v>
      </c>
      <c r="B144" t="s">
        <v>467</v>
      </c>
      <c r="C144" t="s">
        <v>198</v>
      </c>
      <c r="D144">
        <v>46059</v>
      </c>
      <c r="E144" t="s">
        <v>34</v>
      </c>
      <c r="F144" t="s">
        <v>143</v>
      </c>
      <c r="G144" t="s">
        <v>177</v>
      </c>
      <c r="H144" t="s">
        <v>32</v>
      </c>
      <c r="I144">
        <v>4</v>
      </c>
      <c r="J144">
        <v>716177</v>
      </c>
      <c r="K144">
        <v>50000</v>
      </c>
      <c r="L144" t="s">
        <v>137</v>
      </c>
      <c r="M144" t="s">
        <v>165</v>
      </c>
      <c r="N144" t="s">
        <v>156</v>
      </c>
    </row>
    <row r="145" spans="1:14" x14ac:dyDescent="0.25">
      <c r="A145" t="s">
        <v>468</v>
      </c>
      <c r="B145" t="s">
        <v>469</v>
      </c>
      <c r="C145" t="s">
        <v>281</v>
      </c>
      <c r="D145">
        <v>46163</v>
      </c>
      <c r="E145" t="s">
        <v>34</v>
      </c>
      <c r="F145" t="s">
        <v>28</v>
      </c>
      <c r="G145" t="s">
        <v>136</v>
      </c>
      <c r="H145" t="s">
        <v>32</v>
      </c>
      <c r="I145">
        <v>7</v>
      </c>
      <c r="J145">
        <v>1582339</v>
      </c>
      <c r="K145">
        <v>0</v>
      </c>
      <c r="L145" t="s">
        <v>137</v>
      </c>
      <c r="M145" t="s">
        <v>138</v>
      </c>
      <c r="N145" t="s">
        <v>139</v>
      </c>
    </row>
    <row r="146" spans="1:14" x14ac:dyDescent="0.25">
      <c r="A146" t="s">
        <v>470</v>
      </c>
      <c r="B146" t="s">
        <v>269</v>
      </c>
      <c r="C146" t="s">
        <v>180</v>
      </c>
      <c r="D146">
        <v>46178</v>
      </c>
      <c r="E146" t="s">
        <v>31</v>
      </c>
      <c r="F146" t="s">
        <v>143</v>
      </c>
      <c r="G146" t="s">
        <v>169</v>
      </c>
      <c r="H146" t="s">
        <v>25</v>
      </c>
      <c r="I146">
        <v>5</v>
      </c>
      <c r="J146">
        <v>677043</v>
      </c>
      <c r="K146">
        <v>15000</v>
      </c>
      <c r="L146" t="s">
        <v>137</v>
      </c>
      <c r="M146" t="s">
        <v>138</v>
      </c>
      <c r="N146" t="s">
        <v>156</v>
      </c>
    </row>
    <row r="147" spans="1:14" x14ac:dyDescent="0.25">
      <c r="A147" t="s">
        <v>471</v>
      </c>
      <c r="B147" t="s">
        <v>389</v>
      </c>
      <c r="C147" t="s">
        <v>146</v>
      </c>
      <c r="D147">
        <v>46182</v>
      </c>
      <c r="E147" t="s">
        <v>23</v>
      </c>
      <c r="F147" t="s">
        <v>28</v>
      </c>
      <c r="G147" t="s">
        <v>169</v>
      </c>
      <c r="H147" t="s">
        <v>25</v>
      </c>
      <c r="I147">
        <v>2</v>
      </c>
      <c r="J147">
        <v>1838105</v>
      </c>
      <c r="K147">
        <v>35000</v>
      </c>
      <c r="L147" t="s">
        <v>43</v>
      </c>
      <c r="M147" t="s">
        <v>161</v>
      </c>
      <c r="N147" t="s">
        <v>156</v>
      </c>
    </row>
    <row r="148" spans="1:14" x14ac:dyDescent="0.25">
      <c r="A148" t="s">
        <v>472</v>
      </c>
      <c r="B148" t="s">
        <v>473</v>
      </c>
      <c r="C148" t="s">
        <v>320</v>
      </c>
      <c r="D148">
        <v>46065</v>
      </c>
      <c r="E148" t="s">
        <v>23</v>
      </c>
      <c r="F148" t="s">
        <v>160</v>
      </c>
      <c r="G148" t="s">
        <v>177</v>
      </c>
      <c r="H148" t="s">
        <v>35</v>
      </c>
      <c r="I148">
        <v>6</v>
      </c>
      <c r="J148">
        <v>224035</v>
      </c>
      <c r="K148">
        <v>50000</v>
      </c>
      <c r="L148" t="s">
        <v>148</v>
      </c>
      <c r="M148" t="s">
        <v>165</v>
      </c>
      <c r="N148" t="s">
        <v>156</v>
      </c>
    </row>
    <row r="149" spans="1:14" x14ac:dyDescent="0.25">
      <c r="A149" t="s">
        <v>474</v>
      </c>
      <c r="B149" t="s">
        <v>475</v>
      </c>
      <c r="C149" t="s">
        <v>213</v>
      </c>
      <c r="D149">
        <v>46156</v>
      </c>
      <c r="E149" t="s">
        <v>18</v>
      </c>
      <c r="F149" t="s">
        <v>160</v>
      </c>
      <c r="G149" t="s">
        <v>136</v>
      </c>
      <c r="H149" t="s">
        <v>29</v>
      </c>
      <c r="I149">
        <v>5</v>
      </c>
      <c r="J149">
        <v>914383</v>
      </c>
      <c r="K149">
        <v>35000</v>
      </c>
      <c r="L149" t="s">
        <v>148</v>
      </c>
      <c r="M149" t="s">
        <v>149</v>
      </c>
      <c r="N149" t="s">
        <v>156</v>
      </c>
    </row>
    <row r="150" spans="1:14" x14ac:dyDescent="0.25">
      <c r="A150" t="s">
        <v>476</v>
      </c>
      <c r="B150" t="s">
        <v>477</v>
      </c>
      <c r="C150" t="s">
        <v>231</v>
      </c>
      <c r="D150">
        <v>46203</v>
      </c>
      <c r="E150" t="s">
        <v>27</v>
      </c>
      <c r="F150" t="s">
        <v>160</v>
      </c>
      <c r="G150" t="s">
        <v>39</v>
      </c>
      <c r="H150" t="s">
        <v>20</v>
      </c>
      <c r="I150">
        <v>7</v>
      </c>
      <c r="J150">
        <v>1983233</v>
      </c>
      <c r="K150">
        <v>0</v>
      </c>
      <c r="L150" t="s">
        <v>137</v>
      </c>
      <c r="M150" t="s">
        <v>161</v>
      </c>
      <c r="N150" t="s">
        <v>139</v>
      </c>
    </row>
    <row r="151" spans="1:14" x14ac:dyDescent="0.25">
      <c r="A151" t="s">
        <v>478</v>
      </c>
      <c r="B151" t="s">
        <v>479</v>
      </c>
      <c r="C151" t="s">
        <v>164</v>
      </c>
      <c r="D151">
        <v>46069</v>
      </c>
      <c r="E151" t="s">
        <v>23</v>
      </c>
      <c r="F151" t="s">
        <v>160</v>
      </c>
      <c r="G151" t="s">
        <v>173</v>
      </c>
      <c r="H151" t="s">
        <v>35</v>
      </c>
      <c r="I151">
        <v>7</v>
      </c>
      <c r="J151">
        <v>1860369</v>
      </c>
      <c r="K151">
        <v>0</v>
      </c>
      <c r="L151" t="s">
        <v>137</v>
      </c>
      <c r="M151" t="s">
        <v>138</v>
      </c>
      <c r="N151" t="s">
        <v>156</v>
      </c>
    </row>
    <row r="152" spans="1:14" x14ac:dyDescent="0.25">
      <c r="A152" t="s">
        <v>480</v>
      </c>
      <c r="B152" t="s">
        <v>481</v>
      </c>
      <c r="C152" t="s">
        <v>272</v>
      </c>
      <c r="D152">
        <v>46059</v>
      </c>
      <c r="E152" t="s">
        <v>31</v>
      </c>
      <c r="F152" t="s">
        <v>143</v>
      </c>
      <c r="G152" t="s">
        <v>173</v>
      </c>
      <c r="H152" t="s">
        <v>35</v>
      </c>
      <c r="I152">
        <v>7</v>
      </c>
      <c r="J152">
        <v>886169</v>
      </c>
      <c r="K152">
        <v>25000</v>
      </c>
      <c r="L152" t="s">
        <v>137</v>
      </c>
      <c r="M152" t="s">
        <v>161</v>
      </c>
      <c r="N152" t="s">
        <v>139</v>
      </c>
    </row>
    <row r="153" spans="1:14" x14ac:dyDescent="0.25">
      <c r="A153" t="s">
        <v>482</v>
      </c>
      <c r="B153" t="s">
        <v>359</v>
      </c>
      <c r="C153" t="s">
        <v>146</v>
      </c>
      <c r="D153">
        <v>46029</v>
      </c>
      <c r="E153" t="s">
        <v>34</v>
      </c>
      <c r="F153" t="s">
        <v>1346</v>
      </c>
      <c r="G153" t="s">
        <v>39</v>
      </c>
      <c r="H153" t="s">
        <v>20</v>
      </c>
      <c r="I153">
        <v>4</v>
      </c>
      <c r="J153">
        <v>365374</v>
      </c>
      <c r="K153">
        <v>25000</v>
      </c>
      <c r="L153" t="s">
        <v>137</v>
      </c>
      <c r="M153" t="s">
        <v>199</v>
      </c>
      <c r="N153" t="s">
        <v>156</v>
      </c>
    </row>
    <row r="154" spans="1:14" x14ac:dyDescent="0.25">
      <c r="A154" t="s">
        <v>483</v>
      </c>
      <c r="B154" t="s">
        <v>316</v>
      </c>
      <c r="C154" t="s">
        <v>317</v>
      </c>
      <c r="D154">
        <v>46084</v>
      </c>
      <c r="E154" t="s">
        <v>23</v>
      </c>
      <c r="F154" t="s">
        <v>1346</v>
      </c>
      <c r="G154" t="s">
        <v>173</v>
      </c>
      <c r="H154" t="s">
        <v>25</v>
      </c>
      <c r="I154">
        <v>5</v>
      </c>
      <c r="J154">
        <v>1111915</v>
      </c>
      <c r="K154">
        <v>35000</v>
      </c>
      <c r="L154" t="s">
        <v>137</v>
      </c>
      <c r="M154" t="s">
        <v>138</v>
      </c>
      <c r="N154" t="s">
        <v>139</v>
      </c>
    </row>
    <row r="155" spans="1:14" x14ac:dyDescent="0.25">
      <c r="A155" t="s">
        <v>484</v>
      </c>
      <c r="B155" t="s">
        <v>230</v>
      </c>
      <c r="C155" t="s">
        <v>231</v>
      </c>
      <c r="D155">
        <v>46127</v>
      </c>
      <c r="E155" t="s">
        <v>23</v>
      </c>
      <c r="F155" t="s">
        <v>1346</v>
      </c>
      <c r="G155" t="s">
        <v>147</v>
      </c>
      <c r="H155" t="s">
        <v>35</v>
      </c>
      <c r="I155">
        <v>1</v>
      </c>
      <c r="J155">
        <v>394551</v>
      </c>
      <c r="K155">
        <v>35000</v>
      </c>
      <c r="L155" t="s">
        <v>137</v>
      </c>
      <c r="M155" t="s">
        <v>161</v>
      </c>
      <c r="N155" t="s">
        <v>156</v>
      </c>
    </row>
    <row r="156" spans="1:14" x14ac:dyDescent="0.25">
      <c r="A156" t="s">
        <v>485</v>
      </c>
      <c r="B156" t="s">
        <v>486</v>
      </c>
      <c r="C156" t="s">
        <v>172</v>
      </c>
      <c r="D156">
        <v>46165</v>
      </c>
      <c r="E156" t="s">
        <v>27</v>
      </c>
      <c r="F156" t="s">
        <v>143</v>
      </c>
      <c r="G156" t="s">
        <v>177</v>
      </c>
      <c r="H156" t="s">
        <v>25</v>
      </c>
      <c r="I156">
        <v>5</v>
      </c>
      <c r="J156">
        <v>646684</v>
      </c>
      <c r="K156">
        <v>25000</v>
      </c>
      <c r="L156" t="s">
        <v>137</v>
      </c>
      <c r="M156" t="s">
        <v>161</v>
      </c>
      <c r="N156" t="s">
        <v>156</v>
      </c>
    </row>
    <row r="157" spans="1:14" x14ac:dyDescent="0.25">
      <c r="A157" t="s">
        <v>487</v>
      </c>
      <c r="B157" t="s">
        <v>431</v>
      </c>
      <c r="C157" t="s">
        <v>340</v>
      </c>
      <c r="D157">
        <v>46085</v>
      </c>
      <c r="E157" t="s">
        <v>31</v>
      </c>
      <c r="F157" t="s">
        <v>1346</v>
      </c>
      <c r="G157" t="s">
        <v>169</v>
      </c>
      <c r="H157" t="s">
        <v>29</v>
      </c>
      <c r="I157">
        <v>5</v>
      </c>
      <c r="J157">
        <v>2374587</v>
      </c>
      <c r="K157">
        <v>35000</v>
      </c>
      <c r="L157" t="s">
        <v>137</v>
      </c>
      <c r="M157" t="s">
        <v>161</v>
      </c>
      <c r="N157" t="s">
        <v>156</v>
      </c>
    </row>
    <row r="158" spans="1:14" x14ac:dyDescent="0.25">
      <c r="A158" t="s">
        <v>488</v>
      </c>
      <c r="B158" t="s">
        <v>489</v>
      </c>
      <c r="C158" t="s">
        <v>452</v>
      </c>
      <c r="D158">
        <v>46146</v>
      </c>
      <c r="E158" t="s">
        <v>18</v>
      </c>
      <c r="F158" t="s">
        <v>1346</v>
      </c>
      <c r="G158" t="s">
        <v>173</v>
      </c>
      <c r="H158" t="s">
        <v>29</v>
      </c>
      <c r="I158">
        <v>3</v>
      </c>
      <c r="J158">
        <v>1266315</v>
      </c>
      <c r="K158">
        <v>50000</v>
      </c>
      <c r="L158" t="s">
        <v>417</v>
      </c>
      <c r="M158" t="s">
        <v>165</v>
      </c>
      <c r="N158" t="s">
        <v>156</v>
      </c>
    </row>
    <row r="159" spans="1:14" x14ac:dyDescent="0.25">
      <c r="A159" t="s">
        <v>490</v>
      </c>
      <c r="B159" t="s">
        <v>349</v>
      </c>
      <c r="C159" t="s">
        <v>350</v>
      </c>
      <c r="D159">
        <v>46045</v>
      </c>
      <c r="E159" t="s">
        <v>34</v>
      </c>
      <c r="F159" t="s">
        <v>28</v>
      </c>
      <c r="G159" t="s">
        <v>177</v>
      </c>
      <c r="H159" t="s">
        <v>35</v>
      </c>
      <c r="I159">
        <v>7</v>
      </c>
      <c r="J159">
        <v>1778028</v>
      </c>
      <c r="K159">
        <v>0</v>
      </c>
      <c r="L159" t="s">
        <v>137</v>
      </c>
      <c r="M159" t="s">
        <v>138</v>
      </c>
      <c r="N159" t="s">
        <v>139</v>
      </c>
    </row>
    <row r="160" spans="1:14" x14ac:dyDescent="0.25">
      <c r="A160" t="s">
        <v>491</v>
      </c>
      <c r="B160" t="s">
        <v>492</v>
      </c>
      <c r="C160" t="s">
        <v>146</v>
      </c>
      <c r="D160">
        <v>46197</v>
      </c>
      <c r="E160" t="s">
        <v>102</v>
      </c>
      <c r="F160" t="s">
        <v>1346</v>
      </c>
      <c r="G160" t="s">
        <v>177</v>
      </c>
      <c r="H160" t="s">
        <v>100</v>
      </c>
      <c r="I160">
        <v>7</v>
      </c>
      <c r="J160">
        <v>1557116</v>
      </c>
      <c r="K160">
        <v>25000</v>
      </c>
      <c r="L160" t="s">
        <v>137</v>
      </c>
      <c r="M160" t="s">
        <v>161</v>
      </c>
      <c r="N160" t="s">
        <v>139</v>
      </c>
    </row>
    <row r="161" spans="1:14" x14ac:dyDescent="0.25">
      <c r="A161" t="s">
        <v>493</v>
      </c>
      <c r="B161" t="s">
        <v>494</v>
      </c>
      <c r="C161" t="s">
        <v>495</v>
      </c>
      <c r="D161">
        <v>46200</v>
      </c>
      <c r="E161" t="s">
        <v>18</v>
      </c>
      <c r="F161" t="s">
        <v>28</v>
      </c>
      <c r="G161" t="s">
        <v>147</v>
      </c>
      <c r="H161" t="s">
        <v>32</v>
      </c>
      <c r="I161">
        <v>5</v>
      </c>
      <c r="J161">
        <v>680886</v>
      </c>
      <c r="K161">
        <v>0</v>
      </c>
      <c r="L161" t="s">
        <v>137</v>
      </c>
      <c r="M161" t="s">
        <v>165</v>
      </c>
      <c r="N161" t="s">
        <v>139</v>
      </c>
    </row>
    <row r="162" spans="1:14" x14ac:dyDescent="0.25">
      <c r="A162" t="s">
        <v>496</v>
      </c>
      <c r="B162" t="s">
        <v>216</v>
      </c>
      <c r="C162" t="s">
        <v>217</v>
      </c>
      <c r="D162">
        <v>46043</v>
      </c>
      <c r="E162" t="s">
        <v>23</v>
      </c>
      <c r="F162" t="s">
        <v>1346</v>
      </c>
      <c r="G162" t="s">
        <v>39</v>
      </c>
      <c r="H162" t="s">
        <v>35</v>
      </c>
      <c r="I162">
        <v>1</v>
      </c>
      <c r="J162">
        <v>445155</v>
      </c>
      <c r="K162">
        <v>50000</v>
      </c>
      <c r="L162" t="s">
        <v>148</v>
      </c>
      <c r="M162" t="s">
        <v>165</v>
      </c>
      <c r="N162" t="s">
        <v>139</v>
      </c>
    </row>
    <row r="163" spans="1:14" x14ac:dyDescent="0.25">
      <c r="A163" t="s">
        <v>497</v>
      </c>
      <c r="B163" t="s">
        <v>498</v>
      </c>
      <c r="C163" t="s">
        <v>320</v>
      </c>
      <c r="D163">
        <v>46068</v>
      </c>
      <c r="E163" t="s">
        <v>23</v>
      </c>
      <c r="F163" t="s">
        <v>143</v>
      </c>
      <c r="G163" t="s">
        <v>169</v>
      </c>
      <c r="H163" t="s">
        <v>20</v>
      </c>
      <c r="I163">
        <v>4</v>
      </c>
      <c r="J163" t="s">
        <v>499</v>
      </c>
      <c r="K163">
        <v>0</v>
      </c>
      <c r="L163" t="s">
        <v>137</v>
      </c>
      <c r="M163" t="s">
        <v>161</v>
      </c>
      <c r="N163" t="s">
        <v>139</v>
      </c>
    </row>
    <row r="164" spans="1:14" x14ac:dyDescent="0.25">
      <c r="A164" t="s">
        <v>500</v>
      </c>
      <c r="B164" t="s">
        <v>501</v>
      </c>
      <c r="C164" t="s">
        <v>502</v>
      </c>
      <c r="D164">
        <v>46114</v>
      </c>
      <c r="E164" t="s">
        <v>18</v>
      </c>
      <c r="F164" t="s">
        <v>143</v>
      </c>
      <c r="G164" t="s">
        <v>39</v>
      </c>
      <c r="H164" t="s">
        <v>25</v>
      </c>
      <c r="I164">
        <v>7</v>
      </c>
      <c r="J164">
        <v>923258</v>
      </c>
      <c r="K164">
        <v>0</v>
      </c>
      <c r="L164" t="s">
        <v>137</v>
      </c>
      <c r="M164" t="s">
        <v>503</v>
      </c>
      <c r="N164" t="s">
        <v>156</v>
      </c>
    </row>
    <row r="165" spans="1:14" x14ac:dyDescent="0.25">
      <c r="A165" t="s">
        <v>504</v>
      </c>
      <c r="B165" t="s">
        <v>151</v>
      </c>
      <c r="C165" t="s">
        <v>152</v>
      </c>
      <c r="D165">
        <v>46149</v>
      </c>
      <c r="E165" t="s">
        <v>34</v>
      </c>
      <c r="F165" t="s">
        <v>28</v>
      </c>
      <c r="G165" t="s">
        <v>177</v>
      </c>
      <c r="H165" t="s">
        <v>35</v>
      </c>
      <c r="I165">
        <v>2</v>
      </c>
      <c r="J165">
        <v>996971</v>
      </c>
      <c r="K165">
        <v>0</v>
      </c>
      <c r="L165" t="s">
        <v>37</v>
      </c>
      <c r="M165" t="s">
        <v>138</v>
      </c>
      <c r="N165" t="s">
        <v>156</v>
      </c>
    </row>
    <row r="166" spans="1:14" x14ac:dyDescent="0.25">
      <c r="A166" t="s">
        <v>505</v>
      </c>
      <c r="B166" t="s">
        <v>506</v>
      </c>
      <c r="C166" t="s">
        <v>189</v>
      </c>
      <c r="D166">
        <v>46167</v>
      </c>
      <c r="E166" t="s">
        <v>18</v>
      </c>
      <c r="F166" t="s">
        <v>1346</v>
      </c>
      <c r="G166" t="s">
        <v>1359</v>
      </c>
      <c r="H166" t="s">
        <v>29</v>
      </c>
      <c r="I166">
        <v>1</v>
      </c>
      <c r="J166">
        <v>2490369</v>
      </c>
      <c r="K166">
        <v>15000</v>
      </c>
      <c r="L166" t="s">
        <v>137</v>
      </c>
      <c r="M166" t="s">
        <v>138</v>
      </c>
      <c r="N166" t="s">
        <v>139</v>
      </c>
    </row>
    <row r="167" spans="1:14" x14ac:dyDescent="0.25">
      <c r="A167" t="s">
        <v>507</v>
      </c>
      <c r="B167" t="s">
        <v>327</v>
      </c>
      <c r="C167" t="s">
        <v>328</v>
      </c>
      <c r="D167">
        <v>46196</v>
      </c>
      <c r="E167" t="s">
        <v>31</v>
      </c>
      <c r="F167" t="s">
        <v>160</v>
      </c>
      <c r="G167" t="s">
        <v>39</v>
      </c>
      <c r="H167" t="s">
        <v>20</v>
      </c>
      <c r="I167">
        <v>5</v>
      </c>
      <c r="J167">
        <v>216961</v>
      </c>
      <c r="K167">
        <v>50000</v>
      </c>
      <c r="L167" t="s">
        <v>137</v>
      </c>
      <c r="M167" t="s">
        <v>138</v>
      </c>
      <c r="N167" t="s">
        <v>139</v>
      </c>
    </row>
    <row r="168" spans="1:14" x14ac:dyDescent="0.25">
      <c r="A168" t="s">
        <v>508</v>
      </c>
      <c r="B168" t="s">
        <v>509</v>
      </c>
      <c r="C168" t="s">
        <v>297</v>
      </c>
      <c r="E168" t="s">
        <v>27</v>
      </c>
      <c r="F168" t="s">
        <v>160</v>
      </c>
      <c r="G168" t="s">
        <v>169</v>
      </c>
      <c r="H168" t="s">
        <v>29</v>
      </c>
      <c r="I168">
        <v>6</v>
      </c>
      <c r="J168">
        <v>1269388</v>
      </c>
      <c r="K168">
        <v>0</v>
      </c>
      <c r="L168" t="s">
        <v>137</v>
      </c>
      <c r="M168" t="s">
        <v>138</v>
      </c>
      <c r="N168" t="s">
        <v>156</v>
      </c>
    </row>
    <row r="169" spans="1:14" x14ac:dyDescent="0.25">
      <c r="A169" t="s">
        <v>510</v>
      </c>
      <c r="B169" t="s">
        <v>151</v>
      </c>
      <c r="C169" t="s">
        <v>152</v>
      </c>
      <c r="D169">
        <v>46130</v>
      </c>
      <c r="E169" t="s">
        <v>23</v>
      </c>
      <c r="F169" t="s">
        <v>160</v>
      </c>
      <c r="G169" t="s">
        <v>169</v>
      </c>
      <c r="H169" t="s">
        <v>29</v>
      </c>
      <c r="I169">
        <v>3</v>
      </c>
      <c r="J169">
        <v>2353090</v>
      </c>
      <c r="K169">
        <v>35000</v>
      </c>
      <c r="L169" t="s">
        <v>262</v>
      </c>
      <c r="M169" t="s">
        <v>161</v>
      </c>
      <c r="N169" t="s">
        <v>139</v>
      </c>
    </row>
    <row r="170" spans="1:14" x14ac:dyDescent="0.25">
      <c r="A170" t="s">
        <v>511</v>
      </c>
      <c r="B170" t="s">
        <v>512</v>
      </c>
      <c r="C170" t="s">
        <v>246</v>
      </c>
      <c r="D170">
        <v>46086</v>
      </c>
      <c r="E170" t="s">
        <v>23</v>
      </c>
      <c r="F170" t="s">
        <v>1352</v>
      </c>
      <c r="G170" t="s">
        <v>39</v>
      </c>
      <c r="H170" t="s">
        <v>32</v>
      </c>
      <c r="I170">
        <v>3</v>
      </c>
      <c r="J170">
        <v>945761</v>
      </c>
      <c r="K170">
        <v>15000</v>
      </c>
      <c r="L170" t="s">
        <v>137</v>
      </c>
      <c r="M170" t="s">
        <v>138</v>
      </c>
      <c r="N170" t="s">
        <v>156</v>
      </c>
    </row>
    <row r="171" spans="1:14" x14ac:dyDescent="0.25">
      <c r="A171" t="s">
        <v>513</v>
      </c>
      <c r="B171" t="s">
        <v>300</v>
      </c>
      <c r="C171" t="s">
        <v>301</v>
      </c>
      <c r="D171">
        <v>46183</v>
      </c>
      <c r="E171" t="s">
        <v>34</v>
      </c>
      <c r="F171" t="s">
        <v>160</v>
      </c>
      <c r="G171" t="s">
        <v>136</v>
      </c>
      <c r="H171" t="s">
        <v>109</v>
      </c>
      <c r="I171">
        <v>2</v>
      </c>
      <c r="J171">
        <v>1522166</v>
      </c>
      <c r="K171">
        <v>25000</v>
      </c>
      <c r="L171" t="s">
        <v>137</v>
      </c>
      <c r="M171" t="s">
        <v>161</v>
      </c>
      <c r="N171" t="s">
        <v>156</v>
      </c>
    </row>
    <row r="172" spans="1:14" x14ac:dyDescent="0.25">
      <c r="A172" t="s">
        <v>514</v>
      </c>
      <c r="B172" t="s">
        <v>515</v>
      </c>
      <c r="C172" t="s">
        <v>334</v>
      </c>
      <c r="D172">
        <v>46176</v>
      </c>
      <c r="E172" t="s">
        <v>23</v>
      </c>
      <c r="F172" t="s">
        <v>160</v>
      </c>
      <c r="G172" t="s">
        <v>39</v>
      </c>
      <c r="H172" t="s">
        <v>25</v>
      </c>
      <c r="I172">
        <v>6</v>
      </c>
      <c r="J172">
        <v>1959325</v>
      </c>
      <c r="K172">
        <v>0</v>
      </c>
      <c r="L172" t="s">
        <v>137</v>
      </c>
      <c r="M172" t="s">
        <v>161</v>
      </c>
      <c r="N172" t="s">
        <v>156</v>
      </c>
    </row>
    <row r="173" spans="1:14" x14ac:dyDescent="0.25">
      <c r="A173" t="s">
        <v>516</v>
      </c>
      <c r="B173" t="s">
        <v>431</v>
      </c>
      <c r="C173" t="s">
        <v>340</v>
      </c>
      <c r="D173">
        <v>46055</v>
      </c>
      <c r="E173" t="s">
        <v>23</v>
      </c>
      <c r="F173" t="s">
        <v>160</v>
      </c>
      <c r="G173" t="s">
        <v>169</v>
      </c>
      <c r="H173" t="s">
        <v>20</v>
      </c>
      <c r="I173">
        <v>1</v>
      </c>
      <c r="J173">
        <v>380056</v>
      </c>
      <c r="K173">
        <v>35000</v>
      </c>
      <c r="L173" t="s">
        <v>137</v>
      </c>
      <c r="M173" t="s">
        <v>138</v>
      </c>
      <c r="N173" t="s">
        <v>156</v>
      </c>
    </row>
    <row r="174" spans="1:14" x14ac:dyDescent="0.25">
      <c r="A174" t="s">
        <v>517</v>
      </c>
      <c r="B174" t="s">
        <v>403</v>
      </c>
      <c r="C174" t="s">
        <v>404</v>
      </c>
      <c r="D174">
        <v>46120</v>
      </c>
      <c r="E174" t="s">
        <v>27</v>
      </c>
      <c r="F174" t="s">
        <v>160</v>
      </c>
      <c r="G174" t="s">
        <v>39</v>
      </c>
      <c r="H174" t="s">
        <v>32</v>
      </c>
      <c r="I174">
        <v>5</v>
      </c>
      <c r="J174">
        <v>1804780</v>
      </c>
      <c r="K174">
        <v>0</v>
      </c>
      <c r="L174" t="s">
        <v>137</v>
      </c>
      <c r="M174" t="s">
        <v>161</v>
      </c>
      <c r="N174" t="s">
        <v>139</v>
      </c>
    </row>
    <row r="175" spans="1:14" x14ac:dyDescent="0.25">
      <c r="A175" t="s">
        <v>518</v>
      </c>
      <c r="B175" t="s">
        <v>519</v>
      </c>
      <c r="C175" t="s">
        <v>240</v>
      </c>
      <c r="D175">
        <v>46132</v>
      </c>
      <c r="E175" t="s">
        <v>31</v>
      </c>
      <c r="F175" t="s">
        <v>1346</v>
      </c>
      <c r="G175" t="s">
        <v>147</v>
      </c>
      <c r="H175" t="s">
        <v>29</v>
      </c>
      <c r="I175">
        <v>6</v>
      </c>
      <c r="J175">
        <v>544790</v>
      </c>
      <c r="K175">
        <v>25000</v>
      </c>
      <c r="L175" t="s">
        <v>43</v>
      </c>
      <c r="M175" t="s">
        <v>165</v>
      </c>
      <c r="N175" t="s">
        <v>156</v>
      </c>
    </row>
    <row r="176" spans="1:14" x14ac:dyDescent="0.25">
      <c r="A176" t="s">
        <v>520</v>
      </c>
      <c r="B176" t="s">
        <v>521</v>
      </c>
      <c r="C176" t="s">
        <v>142</v>
      </c>
      <c r="D176">
        <v>46026</v>
      </c>
      <c r="E176" t="s">
        <v>27</v>
      </c>
      <c r="F176" t="s">
        <v>1346</v>
      </c>
      <c r="G176" t="s">
        <v>136</v>
      </c>
      <c r="H176" t="s">
        <v>32</v>
      </c>
      <c r="I176">
        <v>7</v>
      </c>
      <c r="J176">
        <v>403302</v>
      </c>
      <c r="K176">
        <v>50000</v>
      </c>
      <c r="L176" t="s">
        <v>148</v>
      </c>
      <c r="M176" t="s">
        <v>138</v>
      </c>
      <c r="N176" t="s">
        <v>139</v>
      </c>
    </row>
    <row r="177" spans="1:14" x14ac:dyDescent="0.25">
      <c r="A177" t="s">
        <v>522</v>
      </c>
      <c r="B177" t="s">
        <v>267</v>
      </c>
      <c r="C177" t="s">
        <v>281</v>
      </c>
      <c r="D177">
        <v>46181</v>
      </c>
      <c r="E177" t="s">
        <v>18</v>
      </c>
      <c r="F177" t="s">
        <v>1346</v>
      </c>
      <c r="G177" t="s">
        <v>1360</v>
      </c>
      <c r="H177" t="s">
        <v>32</v>
      </c>
      <c r="I177">
        <v>2</v>
      </c>
      <c r="J177">
        <v>1984889</v>
      </c>
      <c r="K177">
        <v>15000</v>
      </c>
      <c r="L177" t="s">
        <v>137</v>
      </c>
      <c r="M177" t="s">
        <v>161</v>
      </c>
      <c r="N177" t="s">
        <v>139</v>
      </c>
    </row>
    <row r="178" spans="1:14" x14ac:dyDescent="0.25">
      <c r="A178" t="s">
        <v>523</v>
      </c>
      <c r="B178" t="s">
        <v>296</v>
      </c>
      <c r="C178" t="s">
        <v>1361</v>
      </c>
      <c r="D178">
        <v>46172</v>
      </c>
      <c r="E178" t="s">
        <v>34</v>
      </c>
      <c r="F178" t="s">
        <v>1346</v>
      </c>
      <c r="G178" t="s">
        <v>173</v>
      </c>
      <c r="H178" t="s">
        <v>35</v>
      </c>
      <c r="I178">
        <v>2</v>
      </c>
      <c r="J178">
        <v>2389721</v>
      </c>
      <c r="K178">
        <v>15000</v>
      </c>
      <c r="L178" t="s">
        <v>137</v>
      </c>
      <c r="M178" t="s">
        <v>138</v>
      </c>
      <c r="N178" t="s">
        <v>156</v>
      </c>
    </row>
    <row r="179" spans="1:14" x14ac:dyDescent="0.25">
      <c r="A179" t="s">
        <v>524</v>
      </c>
      <c r="B179" t="s">
        <v>525</v>
      </c>
      <c r="C179" t="s">
        <v>526</v>
      </c>
      <c r="D179" t="s">
        <v>1362</v>
      </c>
      <c r="E179" t="s">
        <v>18</v>
      </c>
      <c r="F179" t="s">
        <v>143</v>
      </c>
      <c r="G179" t="s">
        <v>173</v>
      </c>
      <c r="H179" t="s">
        <v>25</v>
      </c>
      <c r="I179">
        <v>7</v>
      </c>
      <c r="J179">
        <v>2246964</v>
      </c>
      <c r="K179">
        <v>50000</v>
      </c>
      <c r="L179" t="s">
        <v>137</v>
      </c>
      <c r="M179" t="s">
        <v>161</v>
      </c>
      <c r="N179" t="s">
        <v>156</v>
      </c>
    </row>
    <row r="180" spans="1:14" x14ac:dyDescent="0.25">
      <c r="A180" t="s">
        <v>527</v>
      </c>
      <c r="B180" t="s">
        <v>459</v>
      </c>
      <c r="C180" t="s">
        <v>317</v>
      </c>
      <c r="D180">
        <v>46144</v>
      </c>
      <c r="E180" t="s">
        <v>34</v>
      </c>
      <c r="F180" t="s">
        <v>1346</v>
      </c>
      <c r="G180" t="s">
        <v>39</v>
      </c>
      <c r="H180" t="s">
        <v>25</v>
      </c>
      <c r="I180">
        <v>6</v>
      </c>
      <c r="J180">
        <v>2080427</v>
      </c>
      <c r="K180">
        <v>50000</v>
      </c>
      <c r="L180" t="s">
        <v>137</v>
      </c>
      <c r="M180" t="s">
        <v>138</v>
      </c>
      <c r="N180" t="s">
        <v>156</v>
      </c>
    </row>
    <row r="181" spans="1:14" x14ac:dyDescent="0.25">
      <c r="A181" t="s">
        <v>528</v>
      </c>
      <c r="B181" t="s">
        <v>521</v>
      </c>
      <c r="C181" t="s">
        <v>142</v>
      </c>
      <c r="D181">
        <v>46139</v>
      </c>
      <c r="E181" t="s">
        <v>18</v>
      </c>
      <c r="F181" t="s">
        <v>103</v>
      </c>
      <c r="G181" t="s">
        <v>147</v>
      </c>
      <c r="H181" t="s">
        <v>29</v>
      </c>
      <c r="I181">
        <v>2</v>
      </c>
      <c r="J181">
        <v>296966</v>
      </c>
      <c r="K181">
        <v>35000</v>
      </c>
      <c r="L181" t="s">
        <v>43</v>
      </c>
      <c r="M181" t="s">
        <v>138</v>
      </c>
      <c r="N181" t="s">
        <v>156</v>
      </c>
    </row>
    <row r="182" spans="1:14" x14ac:dyDescent="0.25">
      <c r="A182" t="s">
        <v>529</v>
      </c>
      <c r="B182" t="s">
        <v>530</v>
      </c>
      <c r="C182" t="s">
        <v>399</v>
      </c>
      <c r="D182">
        <v>46107</v>
      </c>
      <c r="E182" t="s">
        <v>34</v>
      </c>
      <c r="F182" t="s">
        <v>160</v>
      </c>
      <c r="G182" t="s">
        <v>173</v>
      </c>
      <c r="H182" t="s">
        <v>25</v>
      </c>
      <c r="I182">
        <v>4</v>
      </c>
      <c r="J182">
        <v>1696688</v>
      </c>
      <c r="K182">
        <v>15000</v>
      </c>
      <c r="L182" t="s">
        <v>137</v>
      </c>
      <c r="N182" t="s">
        <v>156</v>
      </c>
    </row>
    <row r="183" spans="1:14" x14ac:dyDescent="0.25">
      <c r="A183" t="s">
        <v>531</v>
      </c>
      <c r="B183" t="s">
        <v>158</v>
      </c>
      <c r="C183" t="s">
        <v>159</v>
      </c>
      <c r="D183">
        <v>46052</v>
      </c>
      <c r="E183" t="s">
        <v>34</v>
      </c>
      <c r="F183" t="s">
        <v>160</v>
      </c>
      <c r="G183" t="s">
        <v>173</v>
      </c>
      <c r="H183" t="s">
        <v>29</v>
      </c>
      <c r="I183">
        <v>4</v>
      </c>
      <c r="J183">
        <v>717277</v>
      </c>
      <c r="K183">
        <v>25000</v>
      </c>
      <c r="L183" t="s">
        <v>137</v>
      </c>
      <c r="M183" t="s">
        <v>138</v>
      </c>
      <c r="N183" t="s">
        <v>156</v>
      </c>
    </row>
    <row r="184" spans="1:14" x14ac:dyDescent="0.25">
      <c r="A184" t="s">
        <v>532</v>
      </c>
      <c r="B184" t="s">
        <v>374</v>
      </c>
      <c r="C184" t="s">
        <v>202</v>
      </c>
      <c r="D184">
        <v>46067</v>
      </c>
      <c r="E184" t="s">
        <v>18</v>
      </c>
      <c r="F184" t="s">
        <v>143</v>
      </c>
      <c r="G184" t="s">
        <v>177</v>
      </c>
      <c r="H184" t="s">
        <v>20</v>
      </c>
      <c r="I184">
        <v>6</v>
      </c>
      <c r="J184">
        <v>1038322</v>
      </c>
      <c r="K184">
        <v>25000</v>
      </c>
      <c r="L184" t="s">
        <v>137</v>
      </c>
      <c r="M184" t="s">
        <v>165</v>
      </c>
      <c r="N184" t="s">
        <v>156</v>
      </c>
    </row>
    <row r="185" spans="1:14" x14ac:dyDescent="0.25">
      <c r="A185" t="s">
        <v>533</v>
      </c>
      <c r="B185" t="s">
        <v>455</v>
      </c>
      <c r="C185" t="s">
        <v>456</v>
      </c>
      <c r="D185">
        <v>46090</v>
      </c>
      <c r="E185" t="s">
        <v>23</v>
      </c>
      <c r="F185" t="s">
        <v>1346</v>
      </c>
      <c r="G185" t="s">
        <v>177</v>
      </c>
      <c r="H185" t="s">
        <v>25</v>
      </c>
      <c r="I185">
        <v>7</v>
      </c>
      <c r="J185">
        <v>544422</v>
      </c>
      <c r="K185">
        <v>0</v>
      </c>
      <c r="L185" t="s">
        <v>137</v>
      </c>
      <c r="M185" t="s">
        <v>138</v>
      </c>
      <c r="N185" t="s">
        <v>139</v>
      </c>
    </row>
    <row r="186" spans="1:14" x14ac:dyDescent="0.25">
      <c r="A186" t="s">
        <v>534</v>
      </c>
      <c r="B186" t="s">
        <v>535</v>
      </c>
      <c r="C186" t="s">
        <v>192</v>
      </c>
      <c r="D186">
        <v>46117</v>
      </c>
      <c r="E186" t="s">
        <v>23</v>
      </c>
      <c r="F186" t="s">
        <v>160</v>
      </c>
      <c r="G186" t="s">
        <v>177</v>
      </c>
      <c r="H186" t="s">
        <v>29</v>
      </c>
      <c r="I186">
        <v>5</v>
      </c>
      <c r="J186">
        <v>1681750</v>
      </c>
      <c r="K186">
        <v>15000</v>
      </c>
      <c r="L186" t="s">
        <v>37</v>
      </c>
      <c r="M186" t="s">
        <v>149</v>
      </c>
      <c r="N186" t="s">
        <v>156</v>
      </c>
    </row>
    <row r="187" spans="1:14" x14ac:dyDescent="0.25">
      <c r="A187" t="s">
        <v>536</v>
      </c>
      <c r="B187" t="s">
        <v>327</v>
      </c>
      <c r="C187" t="s">
        <v>328</v>
      </c>
      <c r="D187">
        <v>46159</v>
      </c>
      <c r="E187" t="s">
        <v>18</v>
      </c>
      <c r="F187" t="s">
        <v>160</v>
      </c>
      <c r="G187" t="s">
        <v>147</v>
      </c>
      <c r="H187" t="s">
        <v>35</v>
      </c>
      <c r="I187">
        <v>3</v>
      </c>
      <c r="J187">
        <v>1706267</v>
      </c>
      <c r="K187">
        <v>25000</v>
      </c>
      <c r="L187" t="s">
        <v>137</v>
      </c>
      <c r="M187" t="s">
        <v>149</v>
      </c>
      <c r="N187" t="s">
        <v>156</v>
      </c>
    </row>
    <row r="188" spans="1:14" x14ac:dyDescent="0.25">
      <c r="A188" t="s">
        <v>537</v>
      </c>
      <c r="B188" t="s">
        <v>392</v>
      </c>
      <c r="C188" t="s">
        <v>183</v>
      </c>
      <c r="D188">
        <v>46160</v>
      </c>
      <c r="E188" t="s">
        <v>34</v>
      </c>
      <c r="F188" t="s">
        <v>143</v>
      </c>
      <c r="G188" t="s">
        <v>147</v>
      </c>
      <c r="H188" t="s">
        <v>35</v>
      </c>
      <c r="I188">
        <v>3</v>
      </c>
      <c r="J188">
        <v>1353891</v>
      </c>
      <c r="K188">
        <v>15000</v>
      </c>
      <c r="L188" t="s">
        <v>137</v>
      </c>
      <c r="M188" t="s">
        <v>138</v>
      </c>
      <c r="N188" t="s">
        <v>139</v>
      </c>
    </row>
    <row r="189" spans="1:14" x14ac:dyDescent="0.25">
      <c r="A189" t="s">
        <v>538</v>
      </c>
      <c r="B189" t="s">
        <v>416</v>
      </c>
      <c r="C189" t="s">
        <v>1363</v>
      </c>
      <c r="D189">
        <v>46043</v>
      </c>
      <c r="E189" t="s">
        <v>27</v>
      </c>
      <c r="F189" t="s">
        <v>1346</v>
      </c>
      <c r="G189" t="s">
        <v>39</v>
      </c>
      <c r="H189" t="s">
        <v>35</v>
      </c>
      <c r="I189">
        <v>1</v>
      </c>
      <c r="J189">
        <v>2094121</v>
      </c>
      <c r="K189">
        <v>50000</v>
      </c>
      <c r="L189" t="s">
        <v>137</v>
      </c>
      <c r="M189" t="s">
        <v>138</v>
      </c>
      <c r="N189" t="s">
        <v>139</v>
      </c>
    </row>
    <row r="190" spans="1:14" x14ac:dyDescent="0.25">
      <c r="A190" t="s">
        <v>539</v>
      </c>
      <c r="B190" t="s">
        <v>540</v>
      </c>
      <c r="C190" t="s">
        <v>33</v>
      </c>
      <c r="D190" t="s">
        <v>1364</v>
      </c>
      <c r="E190" t="s">
        <v>31</v>
      </c>
      <c r="F190" t="s">
        <v>1346</v>
      </c>
      <c r="G190" t="s">
        <v>147</v>
      </c>
      <c r="H190" t="s">
        <v>32</v>
      </c>
      <c r="I190">
        <v>6</v>
      </c>
      <c r="J190">
        <v>1688161</v>
      </c>
      <c r="K190">
        <v>50000</v>
      </c>
      <c r="L190" t="s">
        <v>137</v>
      </c>
      <c r="M190" t="s">
        <v>149</v>
      </c>
      <c r="N190" t="s">
        <v>156</v>
      </c>
    </row>
    <row r="191" spans="1:14" x14ac:dyDescent="0.25">
      <c r="A191" t="s">
        <v>541</v>
      </c>
      <c r="B191" t="s">
        <v>416</v>
      </c>
      <c r="C191" t="s">
        <v>350</v>
      </c>
      <c r="D191">
        <v>46079</v>
      </c>
      <c r="E191" t="s">
        <v>31</v>
      </c>
      <c r="F191" t="s">
        <v>28</v>
      </c>
      <c r="G191" t="s">
        <v>147</v>
      </c>
      <c r="H191" t="s">
        <v>29</v>
      </c>
      <c r="I191">
        <v>7</v>
      </c>
      <c r="J191">
        <v>971445</v>
      </c>
      <c r="K191">
        <v>35000</v>
      </c>
      <c r="L191" t="s">
        <v>137</v>
      </c>
      <c r="M191" t="s">
        <v>161</v>
      </c>
      <c r="N191" t="s">
        <v>139</v>
      </c>
    </row>
    <row r="192" spans="1:14" x14ac:dyDescent="0.25">
      <c r="A192" t="s">
        <v>542</v>
      </c>
      <c r="B192" t="s">
        <v>543</v>
      </c>
      <c r="C192" t="s">
        <v>146</v>
      </c>
      <c r="D192">
        <v>46163</v>
      </c>
      <c r="E192" t="s">
        <v>34</v>
      </c>
      <c r="F192" t="s">
        <v>143</v>
      </c>
      <c r="G192" t="s">
        <v>147</v>
      </c>
      <c r="H192" t="s">
        <v>20</v>
      </c>
      <c r="I192">
        <v>7</v>
      </c>
      <c r="J192">
        <v>475504</v>
      </c>
      <c r="K192">
        <v>15000</v>
      </c>
      <c r="L192" t="s">
        <v>137</v>
      </c>
      <c r="M192" t="s">
        <v>138</v>
      </c>
      <c r="N192" t="s">
        <v>139</v>
      </c>
    </row>
    <row r="193" spans="1:14" x14ac:dyDescent="0.25">
      <c r="A193" t="s">
        <v>544</v>
      </c>
      <c r="B193" t="s">
        <v>545</v>
      </c>
      <c r="C193" t="s">
        <v>17</v>
      </c>
      <c r="D193">
        <v>46182</v>
      </c>
      <c r="E193" t="s">
        <v>31</v>
      </c>
      <c r="F193" t="s">
        <v>1346</v>
      </c>
      <c r="G193" t="s">
        <v>136</v>
      </c>
      <c r="H193" t="s">
        <v>32</v>
      </c>
      <c r="I193">
        <v>4</v>
      </c>
      <c r="J193">
        <v>1530854</v>
      </c>
      <c r="K193">
        <v>35000</v>
      </c>
      <c r="L193" t="s">
        <v>137</v>
      </c>
      <c r="M193" t="s">
        <v>138</v>
      </c>
      <c r="N193" t="s">
        <v>156</v>
      </c>
    </row>
    <row r="194" spans="1:14" x14ac:dyDescent="0.25">
      <c r="A194" t="s">
        <v>546</v>
      </c>
      <c r="B194" t="s">
        <v>540</v>
      </c>
      <c r="C194" t="s">
        <v>33</v>
      </c>
      <c r="D194">
        <v>46136</v>
      </c>
      <c r="E194" t="s">
        <v>34</v>
      </c>
      <c r="F194" t="s">
        <v>160</v>
      </c>
      <c r="G194" t="s">
        <v>136</v>
      </c>
      <c r="H194" t="s">
        <v>29</v>
      </c>
      <c r="I194">
        <v>6</v>
      </c>
      <c r="J194">
        <v>1100588</v>
      </c>
      <c r="K194">
        <v>25000</v>
      </c>
      <c r="L194" t="s">
        <v>137</v>
      </c>
      <c r="M194" t="s">
        <v>165</v>
      </c>
      <c r="N194" t="s">
        <v>156</v>
      </c>
    </row>
    <row r="195" spans="1:14" x14ac:dyDescent="0.25">
      <c r="A195" t="s">
        <v>547</v>
      </c>
      <c r="B195" t="s">
        <v>235</v>
      </c>
      <c r="C195" t="s">
        <v>142</v>
      </c>
      <c r="D195">
        <v>46041</v>
      </c>
      <c r="E195" t="s">
        <v>34</v>
      </c>
      <c r="F195" t="s">
        <v>1346</v>
      </c>
      <c r="G195" t="s">
        <v>136</v>
      </c>
      <c r="H195" t="s">
        <v>25</v>
      </c>
      <c r="I195">
        <v>5</v>
      </c>
      <c r="J195">
        <v>1630943</v>
      </c>
      <c r="K195">
        <v>0</v>
      </c>
      <c r="L195" t="s">
        <v>137</v>
      </c>
      <c r="M195" t="s">
        <v>161</v>
      </c>
      <c r="N195" t="s">
        <v>156</v>
      </c>
    </row>
    <row r="196" spans="1:14" x14ac:dyDescent="0.25">
      <c r="A196" t="s">
        <v>548</v>
      </c>
      <c r="B196" t="s">
        <v>163</v>
      </c>
      <c r="C196" t="s">
        <v>164</v>
      </c>
      <c r="D196">
        <v>46177</v>
      </c>
      <c r="E196" t="s">
        <v>34</v>
      </c>
      <c r="F196" t="s">
        <v>28</v>
      </c>
      <c r="G196" t="s">
        <v>39</v>
      </c>
      <c r="H196" t="s">
        <v>35</v>
      </c>
      <c r="I196">
        <v>3</v>
      </c>
      <c r="J196">
        <v>698248</v>
      </c>
      <c r="K196">
        <v>50000</v>
      </c>
      <c r="L196" t="s">
        <v>137</v>
      </c>
      <c r="M196" t="s">
        <v>199</v>
      </c>
      <c r="N196" t="s">
        <v>156</v>
      </c>
    </row>
    <row r="197" spans="1:14" x14ac:dyDescent="0.25">
      <c r="A197" t="s">
        <v>549</v>
      </c>
      <c r="B197" t="s">
        <v>257</v>
      </c>
      <c r="C197" t="s">
        <v>258</v>
      </c>
      <c r="D197">
        <v>46190</v>
      </c>
      <c r="E197" t="s">
        <v>18</v>
      </c>
      <c r="F197" t="s">
        <v>28</v>
      </c>
      <c r="G197" t="s">
        <v>177</v>
      </c>
      <c r="H197" t="s">
        <v>35</v>
      </c>
      <c r="I197">
        <v>7</v>
      </c>
      <c r="J197">
        <v>2270197</v>
      </c>
      <c r="K197">
        <v>15000</v>
      </c>
      <c r="L197" t="s">
        <v>137</v>
      </c>
      <c r="M197" t="s">
        <v>161</v>
      </c>
      <c r="N197" t="s">
        <v>139</v>
      </c>
    </row>
    <row r="198" spans="1:14" x14ac:dyDescent="0.25">
      <c r="A198" t="s">
        <v>550</v>
      </c>
      <c r="B198" t="s">
        <v>551</v>
      </c>
      <c r="C198" t="s">
        <v>452</v>
      </c>
      <c r="D198">
        <v>46141</v>
      </c>
      <c r="E198" t="s">
        <v>31</v>
      </c>
      <c r="F198" t="s">
        <v>143</v>
      </c>
      <c r="G198" t="s">
        <v>39</v>
      </c>
      <c r="H198" t="s">
        <v>32</v>
      </c>
      <c r="I198">
        <v>3</v>
      </c>
      <c r="J198">
        <v>1548829</v>
      </c>
      <c r="K198">
        <v>0</v>
      </c>
      <c r="L198" t="s">
        <v>148</v>
      </c>
      <c r="M198" t="s">
        <v>149</v>
      </c>
      <c r="N198" t="s">
        <v>156</v>
      </c>
    </row>
    <row r="199" spans="1:14" x14ac:dyDescent="0.25">
      <c r="A199" t="s">
        <v>552</v>
      </c>
      <c r="B199" t="s">
        <v>237</v>
      </c>
      <c r="C199" t="s">
        <v>205</v>
      </c>
      <c r="D199">
        <v>46058</v>
      </c>
      <c r="E199" t="s">
        <v>34</v>
      </c>
      <c r="F199" t="s">
        <v>1346</v>
      </c>
      <c r="G199" t="s">
        <v>177</v>
      </c>
      <c r="H199" t="s">
        <v>32</v>
      </c>
      <c r="I199">
        <v>6</v>
      </c>
      <c r="J199">
        <v>658320</v>
      </c>
      <c r="K199">
        <v>25000</v>
      </c>
      <c r="L199" t="s">
        <v>137</v>
      </c>
      <c r="M199" t="s">
        <v>165</v>
      </c>
      <c r="N199" t="s">
        <v>139</v>
      </c>
    </row>
    <row r="200" spans="1:14" x14ac:dyDescent="0.25">
      <c r="A200" t="s">
        <v>553</v>
      </c>
      <c r="B200" t="s">
        <v>274</v>
      </c>
      <c r="C200" t="s">
        <v>192</v>
      </c>
      <c r="D200">
        <v>46126</v>
      </c>
      <c r="E200" t="s">
        <v>23</v>
      </c>
      <c r="F200" t="s">
        <v>143</v>
      </c>
      <c r="G200" t="s">
        <v>177</v>
      </c>
      <c r="H200" t="s">
        <v>25</v>
      </c>
      <c r="K200">
        <v>25000</v>
      </c>
      <c r="L200" t="s">
        <v>137</v>
      </c>
      <c r="M200" t="s">
        <v>138</v>
      </c>
      <c r="N200" t="s">
        <v>139</v>
      </c>
    </row>
    <row r="201" spans="1:14" x14ac:dyDescent="0.25">
      <c r="A201" t="s">
        <v>554</v>
      </c>
      <c r="B201" t="s">
        <v>363</v>
      </c>
      <c r="C201" t="s">
        <v>195</v>
      </c>
      <c r="D201">
        <v>46075</v>
      </c>
      <c r="E201" t="s">
        <v>34</v>
      </c>
      <c r="F201" t="s">
        <v>28</v>
      </c>
      <c r="G201" t="s">
        <v>169</v>
      </c>
      <c r="H201" t="s">
        <v>25</v>
      </c>
      <c r="I201">
        <v>5</v>
      </c>
      <c r="J201">
        <v>1758446</v>
      </c>
      <c r="K201">
        <v>0</v>
      </c>
      <c r="L201" t="s">
        <v>214</v>
      </c>
      <c r="M201" t="s">
        <v>138</v>
      </c>
      <c r="N201" t="s">
        <v>156</v>
      </c>
    </row>
    <row r="202" spans="1:14" x14ac:dyDescent="0.25">
      <c r="A202" t="s">
        <v>555</v>
      </c>
      <c r="B202" t="s">
        <v>556</v>
      </c>
      <c r="C202" t="s">
        <v>231</v>
      </c>
      <c r="D202">
        <v>46049</v>
      </c>
      <c r="E202" t="s">
        <v>18</v>
      </c>
      <c r="F202" t="s">
        <v>160</v>
      </c>
      <c r="G202" t="s">
        <v>39</v>
      </c>
      <c r="H202" t="s">
        <v>25</v>
      </c>
      <c r="I202">
        <v>1</v>
      </c>
      <c r="J202">
        <v>2439059</v>
      </c>
      <c r="K202">
        <v>15000</v>
      </c>
      <c r="L202" t="s">
        <v>148</v>
      </c>
      <c r="M202" t="s">
        <v>161</v>
      </c>
      <c r="N202" t="s">
        <v>156</v>
      </c>
    </row>
    <row r="203" spans="1:14" x14ac:dyDescent="0.25">
      <c r="A203" t="s">
        <v>557</v>
      </c>
      <c r="B203" t="s">
        <v>558</v>
      </c>
      <c r="C203" t="s">
        <v>526</v>
      </c>
      <c r="D203">
        <v>46097</v>
      </c>
      <c r="E203" t="s">
        <v>18</v>
      </c>
      <c r="F203" t="s">
        <v>1346</v>
      </c>
      <c r="G203" t="s">
        <v>39</v>
      </c>
      <c r="H203" t="s">
        <v>100</v>
      </c>
      <c r="I203">
        <v>4</v>
      </c>
      <c r="J203">
        <v>2319474</v>
      </c>
      <c r="K203">
        <v>0</v>
      </c>
      <c r="L203" t="s">
        <v>137</v>
      </c>
      <c r="M203" t="s">
        <v>138</v>
      </c>
      <c r="N203" t="s">
        <v>156</v>
      </c>
    </row>
    <row r="204" spans="1:14" x14ac:dyDescent="0.25">
      <c r="A204" t="s">
        <v>559</v>
      </c>
      <c r="B204" t="s">
        <v>560</v>
      </c>
      <c r="C204" t="s">
        <v>164</v>
      </c>
      <c r="D204">
        <v>46056</v>
      </c>
      <c r="E204" t="s">
        <v>18</v>
      </c>
      <c r="F204" t="s">
        <v>143</v>
      </c>
      <c r="G204" t="s">
        <v>177</v>
      </c>
      <c r="H204" t="s">
        <v>25</v>
      </c>
      <c r="I204">
        <v>4</v>
      </c>
      <c r="J204" t="s">
        <v>561</v>
      </c>
      <c r="K204">
        <v>35000</v>
      </c>
      <c r="L204" t="s">
        <v>137</v>
      </c>
      <c r="M204" t="s">
        <v>138</v>
      </c>
      <c r="N204" t="s">
        <v>139</v>
      </c>
    </row>
    <row r="205" spans="1:14" x14ac:dyDescent="0.25">
      <c r="A205" t="s">
        <v>562</v>
      </c>
      <c r="B205" t="s">
        <v>563</v>
      </c>
      <c r="C205" t="s">
        <v>180</v>
      </c>
      <c r="D205">
        <v>46193</v>
      </c>
      <c r="E205" t="s">
        <v>18</v>
      </c>
      <c r="F205" t="s">
        <v>28</v>
      </c>
      <c r="G205" t="s">
        <v>136</v>
      </c>
      <c r="H205" t="s">
        <v>29</v>
      </c>
      <c r="I205">
        <v>5</v>
      </c>
      <c r="J205">
        <v>2111371</v>
      </c>
      <c r="K205">
        <v>15000</v>
      </c>
      <c r="L205" t="s">
        <v>137</v>
      </c>
      <c r="M205" t="s">
        <v>161</v>
      </c>
      <c r="N205" t="s">
        <v>156</v>
      </c>
    </row>
    <row r="206" spans="1:14" x14ac:dyDescent="0.25">
      <c r="A206" t="s">
        <v>564</v>
      </c>
      <c r="B206" t="s">
        <v>225</v>
      </c>
      <c r="C206" t="s">
        <v>226</v>
      </c>
      <c r="D206">
        <v>46137</v>
      </c>
      <c r="E206" t="s">
        <v>31</v>
      </c>
      <c r="F206" t="s">
        <v>28</v>
      </c>
      <c r="G206" t="s">
        <v>39</v>
      </c>
      <c r="H206" t="s">
        <v>35</v>
      </c>
      <c r="I206">
        <v>5</v>
      </c>
      <c r="J206">
        <v>388309</v>
      </c>
      <c r="K206">
        <v>35000</v>
      </c>
      <c r="L206" t="s">
        <v>148</v>
      </c>
      <c r="M206" t="s">
        <v>149</v>
      </c>
      <c r="N206" t="s">
        <v>156</v>
      </c>
    </row>
    <row r="207" spans="1:14" x14ac:dyDescent="0.25">
      <c r="A207" t="s">
        <v>565</v>
      </c>
      <c r="B207" t="s">
        <v>394</v>
      </c>
      <c r="C207" t="s">
        <v>337</v>
      </c>
      <c r="D207">
        <v>46046</v>
      </c>
      <c r="E207" t="s">
        <v>34</v>
      </c>
      <c r="F207" t="s">
        <v>28</v>
      </c>
      <c r="G207" t="s">
        <v>147</v>
      </c>
      <c r="H207" t="s">
        <v>29</v>
      </c>
      <c r="I207">
        <v>3</v>
      </c>
      <c r="J207">
        <v>1327589</v>
      </c>
      <c r="K207">
        <v>35000</v>
      </c>
      <c r="L207" t="s">
        <v>137</v>
      </c>
      <c r="M207" t="s">
        <v>138</v>
      </c>
      <c r="N207" t="s">
        <v>139</v>
      </c>
    </row>
    <row r="208" spans="1:14" x14ac:dyDescent="0.25">
      <c r="A208" t="s">
        <v>566</v>
      </c>
      <c r="B208" t="s">
        <v>486</v>
      </c>
      <c r="C208" t="s">
        <v>172</v>
      </c>
      <c r="D208">
        <v>46068</v>
      </c>
      <c r="E208" t="s">
        <v>27</v>
      </c>
      <c r="F208" t="s">
        <v>160</v>
      </c>
      <c r="G208" t="s">
        <v>39</v>
      </c>
      <c r="H208" t="s">
        <v>20</v>
      </c>
      <c r="I208">
        <v>4</v>
      </c>
      <c r="J208">
        <v>1932260</v>
      </c>
      <c r="K208">
        <v>35000</v>
      </c>
      <c r="L208" t="s">
        <v>43</v>
      </c>
      <c r="M208" t="s">
        <v>161</v>
      </c>
      <c r="N208" t="s">
        <v>156</v>
      </c>
    </row>
    <row r="209" spans="1:14" x14ac:dyDescent="0.25">
      <c r="A209" t="s">
        <v>567</v>
      </c>
      <c r="B209" t="s">
        <v>492</v>
      </c>
      <c r="C209" t="s">
        <v>146</v>
      </c>
      <c r="D209">
        <v>46063</v>
      </c>
      <c r="E209" t="s">
        <v>18</v>
      </c>
      <c r="F209" t="s">
        <v>28</v>
      </c>
      <c r="G209" t="s">
        <v>96</v>
      </c>
      <c r="H209" t="s">
        <v>35</v>
      </c>
      <c r="I209">
        <v>3</v>
      </c>
      <c r="J209">
        <v>1268300</v>
      </c>
      <c r="K209">
        <v>50000</v>
      </c>
      <c r="L209" t="s">
        <v>137</v>
      </c>
      <c r="M209" t="s">
        <v>161</v>
      </c>
      <c r="N209" t="s">
        <v>156</v>
      </c>
    </row>
    <row r="210" spans="1:14" x14ac:dyDescent="0.25">
      <c r="A210" t="s">
        <v>568</v>
      </c>
      <c r="B210" t="s">
        <v>569</v>
      </c>
      <c r="C210" t="s">
        <v>526</v>
      </c>
      <c r="D210">
        <v>46042</v>
      </c>
      <c r="E210" t="s">
        <v>18</v>
      </c>
      <c r="F210" t="s">
        <v>1346</v>
      </c>
      <c r="G210" t="s">
        <v>177</v>
      </c>
      <c r="H210" t="s">
        <v>35</v>
      </c>
      <c r="I210">
        <v>7</v>
      </c>
      <c r="J210">
        <v>561343</v>
      </c>
      <c r="K210">
        <v>50000</v>
      </c>
      <c r="L210" t="s">
        <v>137</v>
      </c>
      <c r="M210" t="s">
        <v>138</v>
      </c>
      <c r="N210" t="s">
        <v>156</v>
      </c>
    </row>
    <row r="211" spans="1:14" x14ac:dyDescent="0.25">
      <c r="A211" t="s">
        <v>570</v>
      </c>
      <c r="B211" t="s">
        <v>571</v>
      </c>
      <c r="C211" t="s">
        <v>441</v>
      </c>
      <c r="D211">
        <v>46029</v>
      </c>
      <c r="E211" t="s">
        <v>18</v>
      </c>
      <c r="F211" t="s">
        <v>28</v>
      </c>
      <c r="G211" t="s">
        <v>173</v>
      </c>
      <c r="H211" t="s">
        <v>20</v>
      </c>
      <c r="I211">
        <v>4</v>
      </c>
      <c r="J211">
        <v>427004</v>
      </c>
      <c r="K211">
        <v>35000</v>
      </c>
      <c r="L211" t="s">
        <v>137</v>
      </c>
      <c r="M211" t="s">
        <v>138</v>
      </c>
      <c r="N211" t="s">
        <v>139</v>
      </c>
    </row>
    <row r="212" spans="1:14" x14ac:dyDescent="0.25">
      <c r="A212" t="s">
        <v>572</v>
      </c>
      <c r="B212" t="s">
        <v>251</v>
      </c>
      <c r="C212" t="s">
        <v>17</v>
      </c>
      <c r="D212">
        <v>46057</v>
      </c>
      <c r="E212" t="s">
        <v>99</v>
      </c>
      <c r="F212" t="s">
        <v>28</v>
      </c>
      <c r="G212" t="s">
        <v>177</v>
      </c>
      <c r="H212" t="s">
        <v>32</v>
      </c>
      <c r="I212">
        <v>4</v>
      </c>
      <c r="J212">
        <v>1492000</v>
      </c>
      <c r="K212">
        <v>35000</v>
      </c>
      <c r="L212" t="s">
        <v>137</v>
      </c>
      <c r="M212" t="s">
        <v>161</v>
      </c>
      <c r="N212" t="s">
        <v>139</v>
      </c>
    </row>
    <row r="213" spans="1:14" x14ac:dyDescent="0.25">
      <c r="A213" t="s">
        <v>573</v>
      </c>
      <c r="B213" t="s">
        <v>455</v>
      </c>
      <c r="C213" t="s">
        <v>456</v>
      </c>
      <c r="D213">
        <v>46064</v>
      </c>
      <c r="E213" t="s">
        <v>27</v>
      </c>
      <c r="F213" t="s">
        <v>101</v>
      </c>
      <c r="G213" t="s">
        <v>177</v>
      </c>
      <c r="H213" t="s">
        <v>20</v>
      </c>
      <c r="I213">
        <v>5</v>
      </c>
      <c r="J213">
        <v>835502</v>
      </c>
      <c r="K213">
        <v>0</v>
      </c>
      <c r="L213" t="s">
        <v>137</v>
      </c>
      <c r="M213" t="s">
        <v>161</v>
      </c>
      <c r="N213" t="s">
        <v>156</v>
      </c>
    </row>
    <row r="214" spans="1:14" x14ac:dyDescent="0.25">
      <c r="A214" t="s">
        <v>574</v>
      </c>
      <c r="B214" t="s">
        <v>462</v>
      </c>
      <c r="C214" t="s">
        <v>202</v>
      </c>
      <c r="D214">
        <v>46092</v>
      </c>
      <c r="E214" t="s">
        <v>27</v>
      </c>
      <c r="F214" t="s">
        <v>143</v>
      </c>
      <c r="G214" t="s">
        <v>39</v>
      </c>
      <c r="H214" t="s">
        <v>20</v>
      </c>
      <c r="I214">
        <v>3</v>
      </c>
      <c r="J214">
        <v>763810</v>
      </c>
      <c r="K214">
        <v>35000</v>
      </c>
      <c r="L214" t="s">
        <v>137</v>
      </c>
      <c r="M214" t="s">
        <v>138</v>
      </c>
      <c r="N214" t="s">
        <v>156</v>
      </c>
    </row>
    <row r="215" spans="1:14" x14ac:dyDescent="0.25">
      <c r="A215" t="s">
        <v>575</v>
      </c>
      <c r="B215" t="s">
        <v>498</v>
      </c>
      <c r="C215" t="s">
        <v>320</v>
      </c>
      <c r="D215">
        <v>46199</v>
      </c>
      <c r="E215" t="s">
        <v>31</v>
      </c>
      <c r="F215" t="s">
        <v>143</v>
      </c>
      <c r="G215" t="s">
        <v>177</v>
      </c>
      <c r="H215" t="s">
        <v>25</v>
      </c>
      <c r="I215">
        <v>1</v>
      </c>
      <c r="J215">
        <v>1413205</v>
      </c>
      <c r="K215">
        <v>35000</v>
      </c>
      <c r="L215" t="s">
        <v>137</v>
      </c>
      <c r="M215" t="s">
        <v>161</v>
      </c>
      <c r="N215" t="s">
        <v>156</v>
      </c>
    </row>
    <row r="216" spans="1:14" x14ac:dyDescent="0.25">
      <c r="A216" t="s">
        <v>576</v>
      </c>
      <c r="B216" t="s">
        <v>316</v>
      </c>
      <c r="C216" t="s">
        <v>317</v>
      </c>
      <c r="D216">
        <v>46046</v>
      </c>
      <c r="E216" t="s">
        <v>23</v>
      </c>
      <c r="F216" t="s">
        <v>143</v>
      </c>
      <c r="G216" t="s">
        <v>173</v>
      </c>
      <c r="H216" t="s">
        <v>29</v>
      </c>
      <c r="I216">
        <v>1</v>
      </c>
      <c r="J216">
        <v>187270</v>
      </c>
      <c r="K216">
        <v>35000</v>
      </c>
      <c r="L216" t="s">
        <v>37</v>
      </c>
      <c r="M216" t="s">
        <v>138</v>
      </c>
      <c r="N216" t="s">
        <v>156</v>
      </c>
    </row>
    <row r="217" spans="1:14" x14ac:dyDescent="0.25">
      <c r="A217" t="s">
        <v>577</v>
      </c>
      <c r="B217" t="s">
        <v>154</v>
      </c>
      <c r="C217" t="s">
        <v>155</v>
      </c>
      <c r="D217">
        <v>46129</v>
      </c>
      <c r="E217" t="s">
        <v>18</v>
      </c>
      <c r="F217" t="s">
        <v>143</v>
      </c>
      <c r="G217" t="s">
        <v>147</v>
      </c>
      <c r="H217" t="s">
        <v>32</v>
      </c>
      <c r="I217">
        <v>7</v>
      </c>
      <c r="J217">
        <v>2269581</v>
      </c>
      <c r="K217">
        <v>0</v>
      </c>
      <c r="L217" t="s">
        <v>137</v>
      </c>
      <c r="M217" t="s">
        <v>138</v>
      </c>
      <c r="N217" t="s">
        <v>139</v>
      </c>
    </row>
    <row r="218" spans="1:14" x14ac:dyDescent="0.25">
      <c r="A218" t="s">
        <v>578</v>
      </c>
      <c r="B218" t="s">
        <v>235</v>
      </c>
      <c r="C218" t="s">
        <v>142</v>
      </c>
      <c r="D218">
        <v>46082</v>
      </c>
      <c r="E218" t="s">
        <v>34</v>
      </c>
      <c r="F218" t="s">
        <v>160</v>
      </c>
      <c r="G218" t="s">
        <v>39</v>
      </c>
      <c r="H218" t="s">
        <v>29</v>
      </c>
      <c r="I218">
        <v>3</v>
      </c>
      <c r="J218">
        <v>1016658</v>
      </c>
      <c r="K218">
        <v>0</v>
      </c>
      <c r="L218" t="s">
        <v>137</v>
      </c>
      <c r="M218" t="s">
        <v>161</v>
      </c>
      <c r="N218" t="s">
        <v>139</v>
      </c>
    </row>
    <row r="219" spans="1:14" x14ac:dyDescent="0.25">
      <c r="A219" t="s">
        <v>579</v>
      </c>
      <c r="B219" t="s">
        <v>580</v>
      </c>
      <c r="C219" t="s">
        <v>33</v>
      </c>
      <c r="D219">
        <v>46039</v>
      </c>
      <c r="E219" t="s">
        <v>31</v>
      </c>
      <c r="F219" t="s">
        <v>1346</v>
      </c>
      <c r="G219" t="s">
        <v>147</v>
      </c>
      <c r="H219" t="s">
        <v>32</v>
      </c>
      <c r="I219">
        <v>3</v>
      </c>
      <c r="J219">
        <v>1287935</v>
      </c>
      <c r="K219">
        <v>50000</v>
      </c>
      <c r="L219" t="s">
        <v>137</v>
      </c>
      <c r="M219" t="s">
        <v>165</v>
      </c>
      <c r="N219" t="s">
        <v>156</v>
      </c>
    </row>
    <row r="220" spans="1:14" x14ac:dyDescent="0.25">
      <c r="A220" t="s">
        <v>581</v>
      </c>
      <c r="B220" t="s">
        <v>582</v>
      </c>
      <c r="C220" t="s">
        <v>446</v>
      </c>
      <c r="D220">
        <v>46160</v>
      </c>
      <c r="E220" t="s">
        <v>31</v>
      </c>
      <c r="F220" t="s">
        <v>143</v>
      </c>
      <c r="G220" t="s">
        <v>136</v>
      </c>
      <c r="H220" t="s">
        <v>29</v>
      </c>
      <c r="I220">
        <v>1</v>
      </c>
      <c r="J220">
        <v>839151</v>
      </c>
      <c r="K220">
        <v>25000</v>
      </c>
      <c r="L220" t="s">
        <v>137</v>
      </c>
      <c r="M220" t="s">
        <v>149</v>
      </c>
      <c r="N220" t="s">
        <v>139</v>
      </c>
    </row>
    <row r="221" spans="1:14" x14ac:dyDescent="0.25">
      <c r="A221" t="s">
        <v>583</v>
      </c>
      <c r="B221" t="s">
        <v>584</v>
      </c>
      <c r="C221" t="s">
        <v>1365</v>
      </c>
      <c r="D221">
        <v>46193</v>
      </c>
      <c r="E221" t="s">
        <v>31</v>
      </c>
      <c r="F221" t="s">
        <v>28</v>
      </c>
      <c r="G221" t="s">
        <v>147</v>
      </c>
      <c r="H221" t="s">
        <v>29</v>
      </c>
      <c r="I221">
        <v>3</v>
      </c>
      <c r="J221">
        <v>2142201</v>
      </c>
      <c r="K221">
        <v>0</v>
      </c>
      <c r="L221" t="s">
        <v>137</v>
      </c>
      <c r="M221" t="s">
        <v>165</v>
      </c>
      <c r="N221" t="s">
        <v>156</v>
      </c>
    </row>
    <row r="222" spans="1:14" x14ac:dyDescent="0.25">
      <c r="A222" t="s">
        <v>585</v>
      </c>
      <c r="B222" t="s">
        <v>558</v>
      </c>
      <c r="C222" t="s">
        <v>526</v>
      </c>
      <c r="D222">
        <v>46028</v>
      </c>
      <c r="E222" t="s">
        <v>27</v>
      </c>
      <c r="F222" t="s">
        <v>160</v>
      </c>
      <c r="G222" t="s">
        <v>173</v>
      </c>
      <c r="H222" t="s">
        <v>29</v>
      </c>
      <c r="I222">
        <v>2</v>
      </c>
      <c r="J222">
        <v>640329</v>
      </c>
      <c r="K222">
        <v>25000</v>
      </c>
      <c r="L222" t="s">
        <v>137</v>
      </c>
      <c r="M222" t="s">
        <v>138</v>
      </c>
      <c r="N222" t="s">
        <v>139</v>
      </c>
    </row>
    <row r="223" spans="1:14" x14ac:dyDescent="0.25">
      <c r="A223" t="s">
        <v>586</v>
      </c>
      <c r="B223" t="s">
        <v>308</v>
      </c>
      <c r="C223" t="s">
        <v>22</v>
      </c>
      <c r="D223">
        <v>46098</v>
      </c>
      <c r="E223" t="s">
        <v>27</v>
      </c>
      <c r="F223" t="s">
        <v>28</v>
      </c>
      <c r="G223" t="s">
        <v>169</v>
      </c>
      <c r="H223" t="s">
        <v>25</v>
      </c>
      <c r="I223">
        <v>4</v>
      </c>
      <c r="J223">
        <v>967298</v>
      </c>
      <c r="K223">
        <v>15000</v>
      </c>
      <c r="L223" t="s">
        <v>137</v>
      </c>
      <c r="M223" t="s">
        <v>161</v>
      </c>
      <c r="N223" t="s">
        <v>156</v>
      </c>
    </row>
    <row r="224" spans="1:14" x14ac:dyDescent="0.25">
      <c r="A224" t="s">
        <v>587</v>
      </c>
      <c r="B224" t="s">
        <v>151</v>
      </c>
      <c r="C224" t="s">
        <v>152</v>
      </c>
      <c r="D224">
        <v>46104</v>
      </c>
      <c r="E224" t="s">
        <v>23</v>
      </c>
      <c r="F224" t="s">
        <v>143</v>
      </c>
      <c r="G224" t="s">
        <v>169</v>
      </c>
      <c r="H224" t="s">
        <v>25</v>
      </c>
      <c r="I224">
        <v>7</v>
      </c>
      <c r="J224">
        <v>286125</v>
      </c>
      <c r="K224">
        <v>50000</v>
      </c>
      <c r="L224" t="s">
        <v>37</v>
      </c>
      <c r="M224" t="s">
        <v>138</v>
      </c>
      <c r="N224" t="s">
        <v>139</v>
      </c>
    </row>
    <row r="225" spans="1:14" x14ac:dyDescent="0.25">
      <c r="A225" t="s">
        <v>588</v>
      </c>
      <c r="B225" t="s">
        <v>589</v>
      </c>
      <c r="C225" t="s">
        <v>195</v>
      </c>
      <c r="D225">
        <v>46075</v>
      </c>
      <c r="E225" t="s">
        <v>18</v>
      </c>
      <c r="F225" t="s">
        <v>28</v>
      </c>
      <c r="G225" t="s">
        <v>147</v>
      </c>
      <c r="H225" t="s">
        <v>25</v>
      </c>
      <c r="I225">
        <v>6</v>
      </c>
      <c r="J225">
        <v>2382037</v>
      </c>
      <c r="K225">
        <v>0</v>
      </c>
      <c r="L225" t="s">
        <v>37</v>
      </c>
      <c r="M225" t="s">
        <v>249</v>
      </c>
      <c r="N225" t="s">
        <v>156</v>
      </c>
    </row>
    <row r="226" spans="1:14" x14ac:dyDescent="0.25">
      <c r="A226" t="s">
        <v>590</v>
      </c>
      <c r="B226" t="s">
        <v>294</v>
      </c>
      <c r="C226" t="s">
        <v>223</v>
      </c>
      <c r="D226">
        <v>46184</v>
      </c>
      <c r="E226" t="s">
        <v>91</v>
      </c>
      <c r="F226" t="s">
        <v>143</v>
      </c>
      <c r="G226" t="s">
        <v>177</v>
      </c>
      <c r="H226" t="s">
        <v>29</v>
      </c>
      <c r="I226">
        <v>7</v>
      </c>
      <c r="J226">
        <v>145344</v>
      </c>
      <c r="K226">
        <v>0</v>
      </c>
      <c r="L226" t="s">
        <v>137</v>
      </c>
      <c r="M226" t="s">
        <v>149</v>
      </c>
      <c r="N226" t="s">
        <v>156</v>
      </c>
    </row>
    <row r="227" spans="1:14" x14ac:dyDescent="0.25">
      <c r="A227" t="s">
        <v>591</v>
      </c>
      <c r="B227" t="s">
        <v>429</v>
      </c>
      <c r="C227" t="s">
        <v>164</v>
      </c>
      <c r="D227">
        <v>46174</v>
      </c>
      <c r="E227" t="s">
        <v>31</v>
      </c>
      <c r="F227" t="s">
        <v>1346</v>
      </c>
      <c r="G227" t="s">
        <v>177</v>
      </c>
      <c r="H227" t="s">
        <v>29</v>
      </c>
      <c r="I227">
        <v>2</v>
      </c>
      <c r="J227">
        <v>2422031</v>
      </c>
      <c r="K227">
        <v>15000</v>
      </c>
      <c r="L227" t="s">
        <v>137</v>
      </c>
      <c r="M227" t="s">
        <v>138</v>
      </c>
      <c r="N227" t="s">
        <v>156</v>
      </c>
    </row>
    <row r="228" spans="1:14" x14ac:dyDescent="0.25">
      <c r="A228" t="s">
        <v>592</v>
      </c>
      <c r="B228" t="s">
        <v>255</v>
      </c>
      <c r="C228" t="s">
        <v>33</v>
      </c>
      <c r="D228">
        <v>46068</v>
      </c>
      <c r="E228" t="s">
        <v>18</v>
      </c>
      <c r="F228" t="s">
        <v>1346</v>
      </c>
      <c r="G228" t="s">
        <v>39</v>
      </c>
      <c r="H228" t="s">
        <v>20</v>
      </c>
      <c r="I228">
        <v>3</v>
      </c>
      <c r="J228">
        <v>1164253</v>
      </c>
      <c r="K228">
        <v>25000</v>
      </c>
      <c r="L228" t="s">
        <v>137</v>
      </c>
      <c r="M228" t="s">
        <v>149</v>
      </c>
      <c r="N228" t="s">
        <v>139</v>
      </c>
    </row>
    <row r="229" spans="1:14" x14ac:dyDescent="0.25">
      <c r="A229" t="s">
        <v>593</v>
      </c>
      <c r="B229" t="s">
        <v>413</v>
      </c>
      <c r="C229" t="s">
        <v>210</v>
      </c>
      <c r="D229">
        <v>46119</v>
      </c>
      <c r="E229" t="s">
        <v>31</v>
      </c>
      <c r="F229" t="s">
        <v>143</v>
      </c>
      <c r="G229" t="s">
        <v>39</v>
      </c>
      <c r="H229" t="s">
        <v>20</v>
      </c>
      <c r="I229">
        <v>4</v>
      </c>
      <c r="J229">
        <v>823661</v>
      </c>
      <c r="K229">
        <v>35000</v>
      </c>
      <c r="L229" t="s">
        <v>137</v>
      </c>
      <c r="M229" t="s">
        <v>138</v>
      </c>
      <c r="N229" t="s">
        <v>139</v>
      </c>
    </row>
    <row r="230" spans="1:14" x14ac:dyDescent="0.25">
      <c r="A230" t="s">
        <v>594</v>
      </c>
      <c r="B230" t="s">
        <v>595</v>
      </c>
      <c r="C230" t="s">
        <v>441</v>
      </c>
      <c r="D230">
        <v>46044</v>
      </c>
      <c r="E230" t="s">
        <v>34</v>
      </c>
      <c r="F230" t="s">
        <v>28</v>
      </c>
      <c r="G230" t="s">
        <v>39</v>
      </c>
      <c r="H230" t="s">
        <v>25</v>
      </c>
      <c r="I230">
        <v>5</v>
      </c>
      <c r="J230">
        <v>1379262</v>
      </c>
      <c r="K230">
        <v>50000</v>
      </c>
      <c r="L230" t="s">
        <v>262</v>
      </c>
      <c r="M230" t="s">
        <v>138</v>
      </c>
      <c r="N230" t="s">
        <v>139</v>
      </c>
    </row>
    <row r="231" spans="1:14" x14ac:dyDescent="0.25">
      <c r="A231" t="s">
        <v>596</v>
      </c>
      <c r="B231" t="s">
        <v>374</v>
      </c>
      <c r="C231" t="s">
        <v>202</v>
      </c>
      <c r="D231">
        <v>46119</v>
      </c>
      <c r="E231" t="s">
        <v>31</v>
      </c>
      <c r="F231" t="s">
        <v>143</v>
      </c>
      <c r="G231" t="s">
        <v>177</v>
      </c>
      <c r="H231" t="s">
        <v>29</v>
      </c>
      <c r="I231">
        <v>4</v>
      </c>
      <c r="J231">
        <v>2477794</v>
      </c>
      <c r="K231">
        <v>50000</v>
      </c>
      <c r="L231" t="s">
        <v>137</v>
      </c>
      <c r="M231" t="s">
        <v>161</v>
      </c>
      <c r="N231" t="s">
        <v>156</v>
      </c>
    </row>
    <row r="232" spans="1:14" x14ac:dyDescent="0.25">
      <c r="A232" t="s">
        <v>597</v>
      </c>
      <c r="B232" t="s">
        <v>276</v>
      </c>
      <c r="C232" t="s">
        <v>277</v>
      </c>
      <c r="D232">
        <v>46151</v>
      </c>
      <c r="E232" t="s">
        <v>34</v>
      </c>
      <c r="F232" t="s">
        <v>28</v>
      </c>
      <c r="G232" t="s">
        <v>39</v>
      </c>
      <c r="H232" t="s">
        <v>94</v>
      </c>
      <c r="I232">
        <v>4</v>
      </c>
      <c r="J232">
        <v>1689751</v>
      </c>
      <c r="K232">
        <v>35000</v>
      </c>
      <c r="L232" t="s">
        <v>43</v>
      </c>
      <c r="M232" t="s">
        <v>149</v>
      </c>
      <c r="N232" t="s">
        <v>156</v>
      </c>
    </row>
    <row r="233" spans="1:14" x14ac:dyDescent="0.25">
      <c r="A233" t="s">
        <v>598</v>
      </c>
      <c r="B233" t="s">
        <v>599</v>
      </c>
      <c r="C233" t="s">
        <v>22</v>
      </c>
      <c r="D233">
        <v>46032</v>
      </c>
      <c r="E233" t="s">
        <v>34</v>
      </c>
      <c r="F233" t="s">
        <v>1346</v>
      </c>
      <c r="G233" t="s">
        <v>147</v>
      </c>
      <c r="H233" t="s">
        <v>32</v>
      </c>
      <c r="I233">
        <v>5</v>
      </c>
      <c r="J233">
        <v>642096</v>
      </c>
      <c r="K233">
        <v>35000</v>
      </c>
      <c r="L233" t="s">
        <v>137</v>
      </c>
      <c r="M233" t="s">
        <v>138</v>
      </c>
      <c r="N233" t="s">
        <v>139</v>
      </c>
    </row>
    <row r="234" spans="1:14" x14ac:dyDescent="0.25">
      <c r="A234" t="s">
        <v>600</v>
      </c>
      <c r="B234" t="s">
        <v>601</v>
      </c>
      <c r="C234" t="s">
        <v>176</v>
      </c>
      <c r="D234">
        <v>46037</v>
      </c>
      <c r="E234" t="s">
        <v>34</v>
      </c>
      <c r="F234" t="s">
        <v>160</v>
      </c>
      <c r="G234" t="s">
        <v>169</v>
      </c>
      <c r="H234" t="s">
        <v>29</v>
      </c>
      <c r="I234">
        <v>6</v>
      </c>
      <c r="J234">
        <v>1736204</v>
      </c>
      <c r="K234">
        <v>35000</v>
      </c>
      <c r="L234" t="s">
        <v>137</v>
      </c>
      <c r="M234" t="s">
        <v>138</v>
      </c>
      <c r="N234" t="s">
        <v>139</v>
      </c>
    </row>
    <row r="235" spans="1:14" x14ac:dyDescent="0.25">
      <c r="A235" t="s">
        <v>602</v>
      </c>
      <c r="B235" t="s">
        <v>145</v>
      </c>
      <c r="C235" t="s">
        <v>146</v>
      </c>
      <c r="D235">
        <v>46139</v>
      </c>
      <c r="E235" t="s">
        <v>18</v>
      </c>
      <c r="F235" t="s">
        <v>160</v>
      </c>
      <c r="G235" t="s">
        <v>173</v>
      </c>
      <c r="H235" t="s">
        <v>20</v>
      </c>
      <c r="I235">
        <v>2</v>
      </c>
      <c r="J235">
        <v>738103</v>
      </c>
      <c r="K235">
        <v>25000</v>
      </c>
      <c r="L235" t="s">
        <v>137</v>
      </c>
      <c r="M235" t="s">
        <v>149</v>
      </c>
      <c r="N235" t="s">
        <v>139</v>
      </c>
    </row>
    <row r="236" spans="1:14" x14ac:dyDescent="0.25">
      <c r="A236" t="s">
        <v>603</v>
      </c>
      <c r="B236" t="s">
        <v>413</v>
      </c>
      <c r="C236" t="s">
        <v>210</v>
      </c>
      <c r="D236">
        <v>46203</v>
      </c>
      <c r="E236" t="s">
        <v>34</v>
      </c>
      <c r="F236" t="s">
        <v>28</v>
      </c>
      <c r="G236" t="s">
        <v>147</v>
      </c>
      <c r="H236" t="s">
        <v>25</v>
      </c>
      <c r="I236">
        <v>2</v>
      </c>
      <c r="J236">
        <v>457005</v>
      </c>
      <c r="K236">
        <v>50000</v>
      </c>
      <c r="L236" t="s">
        <v>148</v>
      </c>
      <c r="M236" t="s">
        <v>165</v>
      </c>
      <c r="N236" t="s">
        <v>139</v>
      </c>
    </row>
    <row r="237" spans="1:14" x14ac:dyDescent="0.25">
      <c r="A237" t="s">
        <v>604</v>
      </c>
      <c r="B237" t="s">
        <v>605</v>
      </c>
      <c r="C237" t="s">
        <v>314</v>
      </c>
      <c r="D237" t="s">
        <v>1366</v>
      </c>
      <c r="E237" t="s">
        <v>18</v>
      </c>
      <c r="F237" t="s">
        <v>28</v>
      </c>
      <c r="G237" t="s">
        <v>169</v>
      </c>
      <c r="H237" t="s">
        <v>25</v>
      </c>
      <c r="I237">
        <v>7</v>
      </c>
      <c r="J237">
        <v>578328</v>
      </c>
      <c r="K237">
        <v>50000</v>
      </c>
      <c r="L237" t="s">
        <v>148</v>
      </c>
      <c r="M237" t="s">
        <v>138</v>
      </c>
      <c r="N237" t="s">
        <v>156</v>
      </c>
    </row>
    <row r="238" spans="1:14" x14ac:dyDescent="0.25">
      <c r="A238" t="s">
        <v>606</v>
      </c>
      <c r="B238" t="s">
        <v>556</v>
      </c>
      <c r="C238" t="s">
        <v>231</v>
      </c>
      <c r="D238" t="s">
        <v>1367</v>
      </c>
      <c r="E238" t="s">
        <v>31</v>
      </c>
      <c r="F238" t="s">
        <v>1346</v>
      </c>
      <c r="G238" t="s">
        <v>1368</v>
      </c>
      <c r="H238" t="s">
        <v>32</v>
      </c>
      <c r="I238">
        <v>1</v>
      </c>
      <c r="J238">
        <v>126621</v>
      </c>
      <c r="K238">
        <v>0</v>
      </c>
      <c r="L238" t="s">
        <v>137</v>
      </c>
      <c r="M238" t="s">
        <v>138</v>
      </c>
      <c r="N238" t="s">
        <v>156</v>
      </c>
    </row>
    <row r="239" spans="1:14" x14ac:dyDescent="0.25">
      <c r="A239" t="s">
        <v>607</v>
      </c>
      <c r="B239" t="s">
        <v>540</v>
      </c>
      <c r="C239" t="s">
        <v>33</v>
      </c>
      <c r="D239">
        <v>46118</v>
      </c>
      <c r="E239" t="s">
        <v>23</v>
      </c>
      <c r="F239" t="s">
        <v>28</v>
      </c>
      <c r="G239" t="s">
        <v>147</v>
      </c>
      <c r="H239" t="s">
        <v>29</v>
      </c>
      <c r="I239">
        <v>2</v>
      </c>
      <c r="J239">
        <v>901818</v>
      </c>
      <c r="K239">
        <v>15000</v>
      </c>
      <c r="L239" t="s">
        <v>137</v>
      </c>
      <c r="M239" t="s">
        <v>407</v>
      </c>
      <c r="N239" t="s">
        <v>156</v>
      </c>
    </row>
    <row r="240" spans="1:14" x14ac:dyDescent="0.25">
      <c r="A240" t="s">
        <v>608</v>
      </c>
      <c r="B240" t="s">
        <v>316</v>
      </c>
      <c r="C240" t="s">
        <v>317</v>
      </c>
      <c r="D240">
        <v>46038</v>
      </c>
      <c r="E240" t="s">
        <v>27</v>
      </c>
      <c r="F240" t="s">
        <v>160</v>
      </c>
      <c r="G240" t="s">
        <v>169</v>
      </c>
      <c r="H240" t="s">
        <v>29</v>
      </c>
      <c r="I240">
        <v>3</v>
      </c>
      <c r="J240">
        <v>886422</v>
      </c>
      <c r="K240">
        <v>15000</v>
      </c>
      <c r="L240" t="s">
        <v>37</v>
      </c>
      <c r="M240" t="s">
        <v>165</v>
      </c>
      <c r="N240" t="s">
        <v>156</v>
      </c>
    </row>
    <row r="241" spans="1:14" x14ac:dyDescent="0.25">
      <c r="A241" t="s">
        <v>609</v>
      </c>
      <c r="B241" t="s">
        <v>403</v>
      </c>
      <c r="C241" t="s">
        <v>404</v>
      </c>
      <c r="D241">
        <v>46044</v>
      </c>
      <c r="E241" t="s">
        <v>18</v>
      </c>
      <c r="F241" t="s">
        <v>28</v>
      </c>
      <c r="G241" t="s">
        <v>39</v>
      </c>
      <c r="H241" t="s">
        <v>20</v>
      </c>
      <c r="I241">
        <v>3</v>
      </c>
      <c r="J241">
        <v>1704308</v>
      </c>
      <c r="K241">
        <v>0</v>
      </c>
      <c r="L241" t="s">
        <v>137</v>
      </c>
      <c r="M241" t="s">
        <v>161</v>
      </c>
      <c r="N241" t="s">
        <v>156</v>
      </c>
    </row>
    <row r="242" spans="1:14" x14ac:dyDescent="0.25">
      <c r="A242" t="s">
        <v>610</v>
      </c>
      <c r="B242" t="s">
        <v>489</v>
      </c>
      <c r="C242" t="s">
        <v>452</v>
      </c>
      <c r="D242">
        <v>46091</v>
      </c>
      <c r="E242" t="s">
        <v>23</v>
      </c>
      <c r="F242" t="s">
        <v>103</v>
      </c>
      <c r="G242" t="s">
        <v>147</v>
      </c>
      <c r="H242" t="s">
        <v>35</v>
      </c>
      <c r="I242">
        <v>7</v>
      </c>
      <c r="J242">
        <v>150310</v>
      </c>
      <c r="K242">
        <v>50000</v>
      </c>
      <c r="L242" t="s">
        <v>37</v>
      </c>
      <c r="M242" t="s">
        <v>165</v>
      </c>
      <c r="N242" t="s">
        <v>139</v>
      </c>
    </row>
    <row r="243" spans="1:14" x14ac:dyDescent="0.25">
      <c r="A243" t="s">
        <v>611</v>
      </c>
      <c r="B243" t="s">
        <v>612</v>
      </c>
      <c r="C243" t="s">
        <v>205</v>
      </c>
      <c r="D243">
        <v>46147</v>
      </c>
      <c r="E243" t="s">
        <v>34</v>
      </c>
      <c r="F243" t="s">
        <v>1346</v>
      </c>
      <c r="G243" t="s">
        <v>177</v>
      </c>
      <c r="H243" t="s">
        <v>25</v>
      </c>
      <c r="I243">
        <v>5</v>
      </c>
      <c r="J243">
        <v>2104877</v>
      </c>
      <c r="K243">
        <v>25000</v>
      </c>
      <c r="L243" t="s">
        <v>137</v>
      </c>
      <c r="M243" t="s">
        <v>138</v>
      </c>
      <c r="N243" t="s">
        <v>139</v>
      </c>
    </row>
    <row r="244" spans="1:14" x14ac:dyDescent="0.25">
      <c r="A244" t="s">
        <v>613</v>
      </c>
      <c r="B244" t="s">
        <v>614</v>
      </c>
      <c r="C244" t="s">
        <v>22</v>
      </c>
      <c r="D244">
        <v>46179</v>
      </c>
      <c r="E244" t="s">
        <v>31</v>
      </c>
      <c r="F244" t="s">
        <v>28</v>
      </c>
      <c r="G244" t="s">
        <v>169</v>
      </c>
      <c r="H244" t="s">
        <v>29</v>
      </c>
      <c r="I244">
        <v>7</v>
      </c>
      <c r="J244">
        <v>360088</v>
      </c>
      <c r="K244">
        <v>25000</v>
      </c>
      <c r="L244" t="s">
        <v>214</v>
      </c>
      <c r="M244" t="s">
        <v>161</v>
      </c>
      <c r="N244" t="s">
        <v>156</v>
      </c>
    </row>
    <row r="245" spans="1:14" x14ac:dyDescent="0.25">
      <c r="A245" t="s">
        <v>615</v>
      </c>
      <c r="B245" t="s">
        <v>145</v>
      </c>
      <c r="C245" t="s">
        <v>146</v>
      </c>
      <c r="D245">
        <v>46054</v>
      </c>
      <c r="E245" t="s">
        <v>31</v>
      </c>
      <c r="F245" t="s">
        <v>28</v>
      </c>
      <c r="G245" t="s">
        <v>147</v>
      </c>
      <c r="H245" t="s">
        <v>32</v>
      </c>
      <c r="I245">
        <v>6</v>
      </c>
      <c r="J245" t="s">
        <v>616</v>
      </c>
      <c r="K245">
        <v>25000</v>
      </c>
      <c r="L245" t="s">
        <v>137</v>
      </c>
      <c r="M245" t="s">
        <v>161</v>
      </c>
      <c r="N245" t="s">
        <v>156</v>
      </c>
    </row>
    <row r="246" spans="1:14" x14ac:dyDescent="0.25">
      <c r="A246" t="s">
        <v>617</v>
      </c>
      <c r="B246" t="s">
        <v>618</v>
      </c>
      <c r="C246" t="s">
        <v>323</v>
      </c>
      <c r="D246">
        <v>46186</v>
      </c>
      <c r="E246" t="s">
        <v>34</v>
      </c>
      <c r="F246" t="s">
        <v>28</v>
      </c>
      <c r="G246" t="s">
        <v>177</v>
      </c>
      <c r="H246" t="s">
        <v>107</v>
      </c>
      <c r="I246">
        <v>6</v>
      </c>
      <c r="J246">
        <v>1471335</v>
      </c>
      <c r="K246">
        <v>0</v>
      </c>
      <c r="L246" t="s">
        <v>137</v>
      </c>
      <c r="M246" t="s">
        <v>161</v>
      </c>
      <c r="N246" t="s">
        <v>139</v>
      </c>
    </row>
    <row r="247" spans="1:14" x14ac:dyDescent="0.25">
      <c r="A247" t="s">
        <v>619</v>
      </c>
      <c r="B247" t="s">
        <v>620</v>
      </c>
      <c r="C247" t="s">
        <v>277</v>
      </c>
      <c r="D247">
        <v>46179</v>
      </c>
      <c r="E247" t="s">
        <v>31</v>
      </c>
      <c r="F247" t="s">
        <v>160</v>
      </c>
      <c r="G247" t="s">
        <v>169</v>
      </c>
      <c r="H247" t="s">
        <v>32</v>
      </c>
      <c r="I247">
        <v>4</v>
      </c>
      <c r="J247">
        <v>461287</v>
      </c>
      <c r="K247">
        <v>25000</v>
      </c>
      <c r="L247" t="s">
        <v>43</v>
      </c>
      <c r="M247" t="s">
        <v>149</v>
      </c>
      <c r="N247" t="s">
        <v>139</v>
      </c>
    </row>
    <row r="248" spans="1:14" x14ac:dyDescent="0.25">
      <c r="A248" t="s">
        <v>621</v>
      </c>
      <c r="B248" t="s">
        <v>622</v>
      </c>
      <c r="C248" t="s">
        <v>623</v>
      </c>
      <c r="D248">
        <v>46072</v>
      </c>
      <c r="E248" t="s">
        <v>31</v>
      </c>
      <c r="F248" t="s">
        <v>160</v>
      </c>
      <c r="G248" t="s">
        <v>136</v>
      </c>
      <c r="H248" t="s">
        <v>35</v>
      </c>
      <c r="I248">
        <v>5</v>
      </c>
      <c r="J248">
        <v>720462</v>
      </c>
      <c r="K248">
        <v>50000</v>
      </c>
      <c r="L248" t="s">
        <v>148</v>
      </c>
      <c r="M248" t="s">
        <v>161</v>
      </c>
      <c r="N248" t="s">
        <v>139</v>
      </c>
    </row>
    <row r="249" spans="1:14" x14ac:dyDescent="0.25">
      <c r="A249" t="s">
        <v>624</v>
      </c>
      <c r="B249" t="s">
        <v>556</v>
      </c>
      <c r="C249" t="s">
        <v>231</v>
      </c>
      <c r="D249">
        <v>46137</v>
      </c>
      <c r="E249" t="s">
        <v>18</v>
      </c>
      <c r="F249" t="s">
        <v>160</v>
      </c>
      <c r="G249" t="s">
        <v>173</v>
      </c>
      <c r="H249" t="s">
        <v>32</v>
      </c>
      <c r="I249">
        <v>6</v>
      </c>
      <c r="J249">
        <v>605191</v>
      </c>
      <c r="K249">
        <v>35000</v>
      </c>
      <c r="L249" t="s">
        <v>137</v>
      </c>
      <c r="M249" t="s">
        <v>161</v>
      </c>
      <c r="N249" t="s">
        <v>156</v>
      </c>
    </row>
    <row r="250" spans="1:14" x14ac:dyDescent="0.25">
      <c r="A250" t="s">
        <v>625</v>
      </c>
      <c r="B250" t="s">
        <v>626</v>
      </c>
      <c r="C250" t="s">
        <v>1369</v>
      </c>
      <c r="D250">
        <v>46106</v>
      </c>
      <c r="E250" t="s">
        <v>23</v>
      </c>
      <c r="F250" t="s">
        <v>143</v>
      </c>
      <c r="G250" t="s">
        <v>147</v>
      </c>
      <c r="H250" t="s">
        <v>32</v>
      </c>
      <c r="I250">
        <v>2</v>
      </c>
      <c r="J250">
        <v>1728472</v>
      </c>
      <c r="K250">
        <v>25000</v>
      </c>
      <c r="L250" t="s">
        <v>137</v>
      </c>
      <c r="M250" t="s">
        <v>138</v>
      </c>
      <c r="N250" t="s">
        <v>156</v>
      </c>
    </row>
    <row r="251" spans="1:14" x14ac:dyDescent="0.25">
      <c r="A251" t="s">
        <v>627</v>
      </c>
      <c r="B251" t="s">
        <v>519</v>
      </c>
      <c r="C251" t="s">
        <v>240</v>
      </c>
      <c r="E251" t="s">
        <v>34</v>
      </c>
      <c r="F251" t="s">
        <v>28</v>
      </c>
      <c r="G251" t="s">
        <v>169</v>
      </c>
      <c r="H251" t="s">
        <v>32</v>
      </c>
      <c r="I251">
        <v>5</v>
      </c>
      <c r="J251">
        <v>1515869</v>
      </c>
      <c r="K251">
        <v>15000</v>
      </c>
      <c r="L251" t="s">
        <v>137</v>
      </c>
      <c r="M251" t="s">
        <v>138</v>
      </c>
      <c r="N251" t="s">
        <v>139</v>
      </c>
    </row>
    <row r="252" spans="1:14" x14ac:dyDescent="0.25">
      <c r="A252" t="s">
        <v>628</v>
      </c>
      <c r="B252" t="s">
        <v>629</v>
      </c>
      <c r="C252" t="s">
        <v>441</v>
      </c>
      <c r="D252">
        <v>46082</v>
      </c>
      <c r="E252" t="s">
        <v>34</v>
      </c>
      <c r="F252" t="s">
        <v>143</v>
      </c>
      <c r="G252" t="s">
        <v>1370</v>
      </c>
      <c r="H252" t="s">
        <v>20</v>
      </c>
      <c r="I252">
        <v>1</v>
      </c>
      <c r="J252">
        <v>1057640</v>
      </c>
      <c r="K252">
        <v>25000</v>
      </c>
      <c r="L252" t="s">
        <v>137</v>
      </c>
      <c r="M252" t="s">
        <v>161</v>
      </c>
      <c r="N252" t="s">
        <v>139</v>
      </c>
    </row>
    <row r="253" spans="1:14" x14ac:dyDescent="0.25">
      <c r="A253" t="s">
        <v>630</v>
      </c>
      <c r="B253" t="s">
        <v>141</v>
      </c>
      <c r="C253" t="s">
        <v>142</v>
      </c>
      <c r="D253">
        <v>46103</v>
      </c>
      <c r="E253" t="s">
        <v>27</v>
      </c>
      <c r="F253" t="s">
        <v>143</v>
      </c>
      <c r="G253" t="s">
        <v>39</v>
      </c>
      <c r="H253" t="s">
        <v>32</v>
      </c>
      <c r="I253">
        <v>6</v>
      </c>
      <c r="J253">
        <v>1714653</v>
      </c>
      <c r="K253">
        <v>50000</v>
      </c>
      <c r="L253" t="s">
        <v>137</v>
      </c>
      <c r="M253" t="s">
        <v>161</v>
      </c>
      <c r="N253" t="s">
        <v>139</v>
      </c>
    </row>
    <row r="254" spans="1:14" x14ac:dyDescent="0.25">
      <c r="A254" t="s">
        <v>631</v>
      </c>
      <c r="B254" t="s">
        <v>632</v>
      </c>
      <c r="C254" t="s">
        <v>314</v>
      </c>
      <c r="D254">
        <v>46116</v>
      </c>
      <c r="E254" t="s">
        <v>31</v>
      </c>
      <c r="F254" t="s">
        <v>160</v>
      </c>
      <c r="G254" t="s">
        <v>147</v>
      </c>
      <c r="H254" t="s">
        <v>32</v>
      </c>
      <c r="I254">
        <v>6</v>
      </c>
      <c r="J254">
        <v>649771</v>
      </c>
      <c r="K254">
        <v>50000</v>
      </c>
      <c r="L254" t="s">
        <v>137</v>
      </c>
      <c r="M254" t="s">
        <v>161</v>
      </c>
      <c r="N254" t="s">
        <v>139</v>
      </c>
    </row>
    <row r="255" spans="1:14" x14ac:dyDescent="0.25">
      <c r="A255" t="s">
        <v>633</v>
      </c>
      <c r="B255" t="s">
        <v>219</v>
      </c>
      <c r="C255" t="s">
        <v>220</v>
      </c>
      <c r="D255">
        <v>46098</v>
      </c>
      <c r="E255" t="s">
        <v>18</v>
      </c>
      <c r="F255" t="s">
        <v>160</v>
      </c>
      <c r="G255" t="s">
        <v>147</v>
      </c>
      <c r="H255" t="s">
        <v>25</v>
      </c>
      <c r="I255">
        <v>6</v>
      </c>
      <c r="J255">
        <v>1038150</v>
      </c>
      <c r="K255">
        <v>35000</v>
      </c>
      <c r="L255" t="s">
        <v>137</v>
      </c>
      <c r="M255" t="s">
        <v>138</v>
      </c>
      <c r="N255" t="s">
        <v>139</v>
      </c>
    </row>
    <row r="256" spans="1:14" x14ac:dyDescent="0.25">
      <c r="A256" t="s">
        <v>634</v>
      </c>
      <c r="B256" t="s">
        <v>635</v>
      </c>
      <c r="C256" t="s">
        <v>261</v>
      </c>
      <c r="D256">
        <v>46199</v>
      </c>
      <c r="E256" t="s">
        <v>18</v>
      </c>
      <c r="F256" t="s">
        <v>101</v>
      </c>
      <c r="G256" t="s">
        <v>136</v>
      </c>
      <c r="H256" t="s">
        <v>32</v>
      </c>
      <c r="I256">
        <v>7</v>
      </c>
      <c r="J256">
        <v>637845</v>
      </c>
      <c r="K256">
        <v>25000</v>
      </c>
      <c r="L256" t="s">
        <v>137</v>
      </c>
      <c r="M256" t="s">
        <v>138</v>
      </c>
      <c r="N256" t="s">
        <v>156</v>
      </c>
    </row>
    <row r="257" spans="1:14" x14ac:dyDescent="0.25">
      <c r="A257" t="s">
        <v>636</v>
      </c>
      <c r="B257" t="s">
        <v>291</v>
      </c>
      <c r="C257" t="s">
        <v>292</v>
      </c>
      <c r="D257">
        <v>46108</v>
      </c>
      <c r="E257" t="s">
        <v>23</v>
      </c>
      <c r="F257" t="s">
        <v>143</v>
      </c>
      <c r="G257" t="s">
        <v>39</v>
      </c>
      <c r="H257" t="s">
        <v>32</v>
      </c>
      <c r="I257">
        <v>7</v>
      </c>
      <c r="J257">
        <v>760479</v>
      </c>
      <c r="K257">
        <v>15000</v>
      </c>
      <c r="L257" t="s">
        <v>137</v>
      </c>
      <c r="M257" t="s">
        <v>165</v>
      </c>
      <c r="N257" t="s">
        <v>139</v>
      </c>
    </row>
    <row r="258" spans="1:14" x14ac:dyDescent="0.25">
      <c r="A258" t="s">
        <v>637</v>
      </c>
      <c r="B258" t="s">
        <v>638</v>
      </c>
      <c r="C258" t="s">
        <v>287</v>
      </c>
      <c r="D258">
        <v>46191</v>
      </c>
      <c r="E258" t="s">
        <v>31</v>
      </c>
      <c r="F258" t="s">
        <v>1346</v>
      </c>
      <c r="G258" t="s">
        <v>39</v>
      </c>
      <c r="H258" t="s">
        <v>32</v>
      </c>
      <c r="I258">
        <v>5</v>
      </c>
      <c r="J258">
        <v>787704</v>
      </c>
      <c r="K258">
        <v>0</v>
      </c>
      <c r="L258" t="s">
        <v>137</v>
      </c>
      <c r="M258" t="s">
        <v>138</v>
      </c>
      <c r="N258" t="s">
        <v>156</v>
      </c>
    </row>
    <row r="259" spans="1:14" x14ac:dyDescent="0.25">
      <c r="A259" t="s">
        <v>639</v>
      </c>
      <c r="B259" t="s">
        <v>640</v>
      </c>
      <c r="C259" t="s">
        <v>198</v>
      </c>
      <c r="D259">
        <v>46095</v>
      </c>
      <c r="E259" t="s">
        <v>27</v>
      </c>
      <c r="F259" t="s">
        <v>160</v>
      </c>
      <c r="G259" t="s">
        <v>169</v>
      </c>
      <c r="H259" t="s">
        <v>25</v>
      </c>
      <c r="I259">
        <v>6</v>
      </c>
      <c r="J259">
        <v>1304320</v>
      </c>
      <c r="K259">
        <v>15000</v>
      </c>
      <c r="L259" t="s">
        <v>148</v>
      </c>
      <c r="M259" t="s">
        <v>138</v>
      </c>
      <c r="N259" t="s">
        <v>139</v>
      </c>
    </row>
    <row r="260" spans="1:14" x14ac:dyDescent="0.25">
      <c r="A260" t="s">
        <v>641</v>
      </c>
      <c r="B260" t="s">
        <v>642</v>
      </c>
      <c r="C260" t="s">
        <v>272</v>
      </c>
      <c r="D260">
        <v>46064</v>
      </c>
      <c r="E260" t="s">
        <v>18</v>
      </c>
      <c r="F260" t="s">
        <v>143</v>
      </c>
      <c r="G260" t="s">
        <v>169</v>
      </c>
      <c r="H260" t="s">
        <v>29</v>
      </c>
      <c r="I260">
        <v>6</v>
      </c>
      <c r="J260">
        <v>696972</v>
      </c>
      <c r="K260">
        <v>35000</v>
      </c>
      <c r="L260" t="s">
        <v>137</v>
      </c>
      <c r="M260" t="s">
        <v>165</v>
      </c>
      <c r="N260" t="s">
        <v>156</v>
      </c>
    </row>
    <row r="261" spans="1:14" x14ac:dyDescent="0.25">
      <c r="A261" t="s">
        <v>643</v>
      </c>
      <c r="B261" t="s">
        <v>644</v>
      </c>
      <c r="C261" t="s">
        <v>337</v>
      </c>
      <c r="D261">
        <v>46170</v>
      </c>
      <c r="E261" t="s">
        <v>23</v>
      </c>
      <c r="F261" t="s">
        <v>160</v>
      </c>
      <c r="G261" t="s">
        <v>136</v>
      </c>
      <c r="H261" t="s">
        <v>32</v>
      </c>
      <c r="I261">
        <v>4</v>
      </c>
      <c r="J261">
        <v>547600</v>
      </c>
      <c r="K261">
        <v>15000</v>
      </c>
      <c r="L261" t="s">
        <v>37</v>
      </c>
      <c r="M261" t="s">
        <v>149</v>
      </c>
      <c r="N261" t="s">
        <v>156</v>
      </c>
    </row>
    <row r="262" spans="1:14" x14ac:dyDescent="0.25">
      <c r="A262" t="s">
        <v>645</v>
      </c>
      <c r="B262" t="s">
        <v>368</v>
      </c>
      <c r="C262" t="s">
        <v>36</v>
      </c>
      <c r="D262">
        <v>46053</v>
      </c>
      <c r="E262" t="s">
        <v>31</v>
      </c>
      <c r="F262" t="s">
        <v>143</v>
      </c>
      <c r="G262" t="s">
        <v>173</v>
      </c>
      <c r="H262" t="s">
        <v>20</v>
      </c>
      <c r="I262">
        <v>5</v>
      </c>
      <c r="J262">
        <v>2281891</v>
      </c>
      <c r="K262">
        <v>25000</v>
      </c>
      <c r="L262" t="s">
        <v>137</v>
      </c>
      <c r="M262" t="s">
        <v>161</v>
      </c>
      <c r="N262" t="s">
        <v>156</v>
      </c>
    </row>
    <row r="263" spans="1:14" x14ac:dyDescent="0.25">
      <c r="A263" t="s">
        <v>646</v>
      </c>
      <c r="B263" t="s">
        <v>413</v>
      </c>
      <c r="C263" t="s">
        <v>210</v>
      </c>
      <c r="D263">
        <v>46148</v>
      </c>
      <c r="E263" t="s">
        <v>91</v>
      </c>
      <c r="F263" t="s">
        <v>28</v>
      </c>
      <c r="G263" t="s">
        <v>169</v>
      </c>
      <c r="H263" t="s">
        <v>32</v>
      </c>
      <c r="I263">
        <v>2</v>
      </c>
      <c r="J263">
        <v>1389572</v>
      </c>
      <c r="K263">
        <v>50000</v>
      </c>
      <c r="L263" t="s">
        <v>137</v>
      </c>
      <c r="M263" t="s">
        <v>138</v>
      </c>
      <c r="N263" t="s">
        <v>139</v>
      </c>
    </row>
    <row r="264" spans="1:14" x14ac:dyDescent="0.25">
      <c r="A264" t="s">
        <v>647</v>
      </c>
      <c r="B264" t="s">
        <v>434</v>
      </c>
      <c r="C264" t="s">
        <v>1371</v>
      </c>
      <c r="D264">
        <v>46190</v>
      </c>
      <c r="E264" t="s">
        <v>89</v>
      </c>
      <c r="F264" t="s">
        <v>143</v>
      </c>
      <c r="G264" t="s">
        <v>173</v>
      </c>
      <c r="H264" t="s">
        <v>35</v>
      </c>
      <c r="I264">
        <v>1</v>
      </c>
      <c r="J264">
        <v>1986961</v>
      </c>
      <c r="K264">
        <v>25000</v>
      </c>
      <c r="L264" t="s">
        <v>137</v>
      </c>
      <c r="M264" t="s">
        <v>161</v>
      </c>
      <c r="N264" t="s">
        <v>139</v>
      </c>
    </row>
    <row r="265" spans="1:14" x14ac:dyDescent="0.25">
      <c r="A265" t="s">
        <v>648</v>
      </c>
      <c r="B265" t="s">
        <v>182</v>
      </c>
      <c r="C265" t="s">
        <v>183</v>
      </c>
      <c r="D265">
        <v>46200</v>
      </c>
      <c r="E265" t="s">
        <v>31</v>
      </c>
      <c r="F265" t="s">
        <v>1346</v>
      </c>
      <c r="G265" t="s">
        <v>147</v>
      </c>
      <c r="H265" t="s">
        <v>29</v>
      </c>
      <c r="I265">
        <v>2</v>
      </c>
      <c r="J265">
        <v>516585</v>
      </c>
      <c r="K265">
        <v>50000</v>
      </c>
      <c r="L265" t="s">
        <v>137</v>
      </c>
      <c r="M265" t="s">
        <v>149</v>
      </c>
      <c r="N265" t="s">
        <v>156</v>
      </c>
    </row>
    <row r="266" spans="1:14" x14ac:dyDescent="0.25">
      <c r="A266" t="s">
        <v>649</v>
      </c>
      <c r="B266" t="s">
        <v>650</v>
      </c>
      <c r="C266" t="s">
        <v>435</v>
      </c>
      <c r="D266">
        <v>46039</v>
      </c>
      <c r="E266" t="s">
        <v>27</v>
      </c>
      <c r="F266" t="s">
        <v>28</v>
      </c>
      <c r="G266" t="s">
        <v>173</v>
      </c>
      <c r="H266" t="s">
        <v>35</v>
      </c>
      <c r="I266">
        <v>4</v>
      </c>
      <c r="J266">
        <v>2374484</v>
      </c>
      <c r="K266">
        <v>15000</v>
      </c>
      <c r="L266" t="s">
        <v>148</v>
      </c>
      <c r="M266" t="s">
        <v>165</v>
      </c>
      <c r="N266" t="s">
        <v>156</v>
      </c>
    </row>
    <row r="267" spans="1:14" x14ac:dyDescent="0.25">
      <c r="A267" t="s">
        <v>651</v>
      </c>
      <c r="B267" t="s">
        <v>605</v>
      </c>
      <c r="C267" t="s">
        <v>314</v>
      </c>
      <c r="D267">
        <v>46076</v>
      </c>
      <c r="E267" t="s">
        <v>27</v>
      </c>
      <c r="F267" t="s">
        <v>28</v>
      </c>
      <c r="G267" t="s">
        <v>136</v>
      </c>
      <c r="H267" t="s">
        <v>20</v>
      </c>
      <c r="I267">
        <v>7</v>
      </c>
      <c r="K267">
        <v>15000</v>
      </c>
      <c r="L267" t="s">
        <v>137</v>
      </c>
      <c r="M267" t="s">
        <v>161</v>
      </c>
      <c r="N267" t="s">
        <v>156</v>
      </c>
    </row>
    <row r="268" spans="1:14" x14ac:dyDescent="0.25">
      <c r="A268" t="s">
        <v>652</v>
      </c>
      <c r="B268" t="s">
        <v>141</v>
      </c>
      <c r="C268" t="s">
        <v>142</v>
      </c>
      <c r="D268">
        <v>46170</v>
      </c>
      <c r="E268" t="s">
        <v>23</v>
      </c>
      <c r="F268" t="s">
        <v>160</v>
      </c>
      <c r="G268" t="s">
        <v>173</v>
      </c>
      <c r="H268" t="s">
        <v>35</v>
      </c>
      <c r="I268">
        <v>1</v>
      </c>
      <c r="J268">
        <v>984990</v>
      </c>
      <c r="K268">
        <v>15000</v>
      </c>
      <c r="L268" t="s">
        <v>137</v>
      </c>
      <c r="M268" t="s">
        <v>165</v>
      </c>
      <c r="N268" t="s">
        <v>139</v>
      </c>
    </row>
    <row r="269" spans="1:14" x14ac:dyDescent="0.25">
      <c r="A269" t="s">
        <v>653</v>
      </c>
      <c r="B269" t="s">
        <v>322</v>
      </c>
      <c r="C269" t="s">
        <v>323</v>
      </c>
      <c r="D269">
        <v>46162</v>
      </c>
      <c r="E269" t="s">
        <v>27</v>
      </c>
      <c r="F269" t="s">
        <v>1346</v>
      </c>
      <c r="G269" t="s">
        <v>169</v>
      </c>
      <c r="H269" t="s">
        <v>35</v>
      </c>
      <c r="I269">
        <v>6</v>
      </c>
      <c r="J269">
        <v>839755</v>
      </c>
      <c r="K269">
        <v>35000</v>
      </c>
      <c r="L269" t="s">
        <v>137</v>
      </c>
      <c r="M269" t="s">
        <v>161</v>
      </c>
      <c r="N269" t="s">
        <v>139</v>
      </c>
    </row>
    <row r="270" spans="1:14" x14ac:dyDescent="0.25">
      <c r="A270" t="s">
        <v>654</v>
      </c>
      <c r="B270" t="s">
        <v>440</v>
      </c>
      <c r="C270" t="s">
        <v>441</v>
      </c>
      <c r="D270">
        <v>46170</v>
      </c>
      <c r="E270" t="s">
        <v>27</v>
      </c>
      <c r="F270" t="s">
        <v>143</v>
      </c>
      <c r="G270" t="s">
        <v>169</v>
      </c>
      <c r="H270" t="s">
        <v>20</v>
      </c>
      <c r="I270">
        <v>5</v>
      </c>
      <c r="J270">
        <v>2177066</v>
      </c>
      <c r="K270">
        <v>25000</v>
      </c>
      <c r="L270" t="s">
        <v>43</v>
      </c>
      <c r="N270" t="s">
        <v>156</v>
      </c>
    </row>
    <row r="271" spans="1:14" x14ac:dyDescent="0.25">
      <c r="A271" t="s">
        <v>655</v>
      </c>
      <c r="B271" t="s">
        <v>656</v>
      </c>
      <c r="C271" t="s">
        <v>192</v>
      </c>
      <c r="D271">
        <v>46032</v>
      </c>
      <c r="E271" t="s">
        <v>27</v>
      </c>
      <c r="F271" t="s">
        <v>143</v>
      </c>
      <c r="G271" t="s">
        <v>147</v>
      </c>
      <c r="H271" t="s">
        <v>25</v>
      </c>
      <c r="I271">
        <v>3</v>
      </c>
      <c r="J271">
        <v>908838</v>
      </c>
      <c r="K271">
        <v>15000</v>
      </c>
      <c r="L271" t="s">
        <v>148</v>
      </c>
      <c r="M271" t="s">
        <v>138</v>
      </c>
      <c r="N271" t="s">
        <v>139</v>
      </c>
    </row>
    <row r="272" spans="1:14" x14ac:dyDescent="0.25">
      <c r="A272" t="s">
        <v>657</v>
      </c>
      <c r="B272" t="s">
        <v>141</v>
      </c>
      <c r="C272" t="s">
        <v>142</v>
      </c>
      <c r="D272">
        <v>46182</v>
      </c>
      <c r="E272" t="s">
        <v>18</v>
      </c>
      <c r="F272" t="s">
        <v>28</v>
      </c>
      <c r="G272" t="s">
        <v>39</v>
      </c>
      <c r="H272" t="s">
        <v>20</v>
      </c>
      <c r="I272">
        <v>5</v>
      </c>
      <c r="J272">
        <v>1890059</v>
      </c>
      <c r="K272">
        <v>0</v>
      </c>
      <c r="L272" t="s">
        <v>137</v>
      </c>
      <c r="M272" t="s">
        <v>138</v>
      </c>
      <c r="N272" t="s">
        <v>139</v>
      </c>
    </row>
    <row r="273" spans="1:14" x14ac:dyDescent="0.25">
      <c r="A273" t="s">
        <v>658</v>
      </c>
      <c r="B273" t="s">
        <v>462</v>
      </c>
      <c r="C273" t="s">
        <v>202</v>
      </c>
      <c r="D273">
        <v>46131</v>
      </c>
      <c r="E273" t="s">
        <v>18</v>
      </c>
      <c r="F273" t="s">
        <v>1346</v>
      </c>
      <c r="G273" t="s">
        <v>147</v>
      </c>
      <c r="H273" t="s">
        <v>35</v>
      </c>
      <c r="I273">
        <v>2</v>
      </c>
      <c r="J273">
        <v>720808</v>
      </c>
      <c r="K273">
        <v>50000</v>
      </c>
      <c r="L273" t="s">
        <v>137</v>
      </c>
      <c r="M273" t="s">
        <v>138</v>
      </c>
      <c r="N273" t="s">
        <v>156</v>
      </c>
    </row>
    <row r="274" spans="1:14" x14ac:dyDescent="0.25">
      <c r="A274" t="s">
        <v>659</v>
      </c>
      <c r="B274" t="s">
        <v>445</v>
      </c>
      <c r="C274" t="s">
        <v>446</v>
      </c>
      <c r="D274">
        <v>46062</v>
      </c>
      <c r="E274" t="s">
        <v>23</v>
      </c>
      <c r="F274" t="s">
        <v>1346</v>
      </c>
      <c r="G274" t="s">
        <v>173</v>
      </c>
      <c r="H274" t="s">
        <v>35</v>
      </c>
      <c r="I274">
        <v>4</v>
      </c>
      <c r="J274">
        <v>1446911</v>
      </c>
      <c r="K274">
        <v>35000</v>
      </c>
      <c r="L274" t="s">
        <v>137</v>
      </c>
      <c r="M274" t="s">
        <v>138</v>
      </c>
      <c r="N274" t="s">
        <v>156</v>
      </c>
    </row>
    <row r="275" spans="1:14" x14ac:dyDescent="0.25">
      <c r="A275" t="s">
        <v>660</v>
      </c>
      <c r="B275" t="s">
        <v>274</v>
      </c>
      <c r="C275" t="s">
        <v>192</v>
      </c>
      <c r="D275">
        <v>46163</v>
      </c>
      <c r="E275" t="s">
        <v>34</v>
      </c>
      <c r="F275" t="s">
        <v>1346</v>
      </c>
      <c r="G275" t="s">
        <v>177</v>
      </c>
      <c r="H275" t="s">
        <v>29</v>
      </c>
      <c r="I275">
        <v>3</v>
      </c>
      <c r="J275">
        <v>1826164</v>
      </c>
      <c r="K275">
        <v>0</v>
      </c>
      <c r="L275" t="s">
        <v>137</v>
      </c>
      <c r="M275" t="s">
        <v>138</v>
      </c>
      <c r="N275" t="s">
        <v>139</v>
      </c>
    </row>
    <row r="276" spans="1:14" x14ac:dyDescent="0.25">
      <c r="A276" t="s">
        <v>661</v>
      </c>
      <c r="B276" t="s">
        <v>662</v>
      </c>
      <c r="C276" t="s">
        <v>223</v>
      </c>
      <c r="D276">
        <v>46048</v>
      </c>
      <c r="E276" t="s">
        <v>27</v>
      </c>
      <c r="F276" t="s">
        <v>1346</v>
      </c>
      <c r="G276" t="s">
        <v>147</v>
      </c>
      <c r="H276" t="s">
        <v>32</v>
      </c>
      <c r="I276">
        <v>4</v>
      </c>
      <c r="J276">
        <v>1701906</v>
      </c>
      <c r="K276">
        <v>15000</v>
      </c>
      <c r="L276" t="s">
        <v>37</v>
      </c>
      <c r="M276" t="s">
        <v>138</v>
      </c>
      <c r="N276" t="s">
        <v>156</v>
      </c>
    </row>
    <row r="277" spans="1:14" x14ac:dyDescent="0.25">
      <c r="A277" t="s">
        <v>663</v>
      </c>
      <c r="B277" t="s">
        <v>640</v>
      </c>
      <c r="C277" t="s">
        <v>198</v>
      </c>
      <c r="D277">
        <v>46112</v>
      </c>
      <c r="E277" t="s">
        <v>18</v>
      </c>
      <c r="F277" t="s">
        <v>1346</v>
      </c>
      <c r="G277" t="s">
        <v>39</v>
      </c>
      <c r="H277" t="s">
        <v>29</v>
      </c>
      <c r="I277">
        <v>3</v>
      </c>
      <c r="J277">
        <v>1302779</v>
      </c>
      <c r="K277">
        <v>50000</v>
      </c>
      <c r="L277" t="s">
        <v>137</v>
      </c>
      <c r="M277" t="s">
        <v>165</v>
      </c>
      <c r="N277" t="s">
        <v>139</v>
      </c>
    </row>
    <row r="278" spans="1:14" x14ac:dyDescent="0.25">
      <c r="A278" t="s">
        <v>664</v>
      </c>
      <c r="B278" t="s">
        <v>629</v>
      </c>
      <c r="C278" t="s">
        <v>441</v>
      </c>
      <c r="D278">
        <v>46196</v>
      </c>
      <c r="E278" t="s">
        <v>34</v>
      </c>
      <c r="F278" t="s">
        <v>160</v>
      </c>
      <c r="G278" t="s">
        <v>169</v>
      </c>
      <c r="H278" t="s">
        <v>35</v>
      </c>
      <c r="I278">
        <v>5</v>
      </c>
      <c r="J278">
        <v>2350036</v>
      </c>
      <c r="K278">
        <v>50000</v>
      </c>
      <c r="L278" t="s">
        <v>148</v>
      </c>
      <c r="M278" t="s">
        <v>165</v>
      </c>
      <c r="N278" t="s">
        <v>156</v>
      </c>
    </row>
    <row r="279" spans="1:14" x14ac:dyDescent="0.25">
      <c r="A279" t="s">
        <v>665</v>
      </c>
      <c r="B279" t="s">
        <v>506</v>
      </c>
      <c r="C279" t="s">
        <v>189</v>
      </c>
      <c r="D279">
        <v>46055</v>
      </c>
      <c r="E279" t="s">
        <v>34</v>
      </c>
      <c r="F279" t="s">
        <v>143</v>
      </c>
      <c r="G279" t="s">
        <v>169</v>
      </c>
      <c r="H279" t="s">
        <v>35</v>
      </c>
      <c r="I279">
        <v>5</v>
      </c>
      <c r="J279">
        <v>718401</v>
      </c>
      <c r="K279">
        <v>35000</v>
      </c>
      <c r="L279" t="s">
        <v>137</v>
      </c>
      <c r="M279" t="s">
        <v>161</v>
      </c>
      <c r="N279" t="s">
        <v>139</v>
      </c>
    </row>
    <row r="280" spans="1:14" x14ac:dyDescent="0.25">
      <c r="A280" t="s">
        <v>666</v>
      </c>
      <c r="B280" t="s">
        <v>163</v>
      </c>
      <c r="C280" t="s">
        <v>164</v>
      </c>
      <c r="D280">
        <v>46140</v>
      </c>
      <c r="E280" t="s">
        <v>31</v>
      </c>
      <c r="F280" t="s">
        <v>143</v>
      </c>
      <c r="G280" t="s">
        <v>136</v>
      </c>
      <c r="H280" t="s">
        <v>20</v>
      </c>
      <c r="I280">
        <v>3</v>
      </c>
      <c r="J280">
        <v>887996</v>
      </c>
      <c r="K280">
        <v>35000</v>
      </c>
      <c r="L280" t="s">
        <v>148</v>
      </c>
      <c r="M280" t="s">
        <v>138</v>
      </c>
      <c r="N280" t="s">
        <v>139</v>
      </c>
    </row>
    <row r="281" spans="1:14" x14ac:dyDescent="0.25">
      <c r="A281" t="s">
        <v>667</v>
      </c>
      <c r="B281" t="s">
        <v>599</v>
      </c>
      <c r="C281" t="s">
        <v>22</v>
      </c>
      <c r="D281">
        <v>46103</v>
      </c>
      <c r="E281" t="s">
        <v>18</v>
      </c>
      <c r="F281" t="s">
        <v>160</v>
      </c>
      <c r="G281" t="s">
        <v>173</v>
      </c>
      <c r="H281" t="s">
        <v>25</v>
      </c>
      <c r="I281">
        <v>1</v>
      </c>
      <c r="J281">
        <v>498077</v>
      </c>
      <c r="K281">
        <v>0</v>
      </c>
      <c r="L281" t="s">
        <v>137</v>
      </c>
      <c r="M281" t="s">
        <v>149</v>
      </c>
      <c r="N281" t="s">
        <v>139</v>
      </c>
    </row>
    <row r="282" spans="1:14" x14ac:dyDescent="0.25">
      <c r="A282" t="s">
        <v>668</v>
      </c>
      <c r="B282" t="s">
        <v>629</v>
      </c>
      <c r="C282" t="s">
        <v>441</v>
      </c>
      <c r="D282">
        <v>46025</v>
      </c>
      <c r="E282" t="s">
        <v>27</v>
      </c>
      <c r="F282" t="s">
        <v>160</v>
      </c>
      <c r="G282" t="s">
        <v>39</v>
      </c>
      <c r="H282" t="s">
        <v>20</v>
      </c>
      <c r="I282">
        <v>6</v>
      </c>
      <c r="J282">
        <v>1898316</v>
      </c>
      <c r="K282">
        <v>50000</v>
      </c>
      <c r="L282" t="s">
        <v>137</v>
      </c>
      <c r="M282" t="s">
        <v>407</v>
      </c>
      <c r="N282" t="s">
        <v>156</v>
      </c>
    </row>
    <row r="283" spans="1:14" x14ac:dyDescent="0.25">
      <c r="A283" t="s">
        <v>669</v>
      </c>
      <c r="B283" t="s">
        <v>670</v>
      </c>
      <c r="C283" t="s">
        <v>284</v>
      </c>
      <c r="D283">
        <v>46024</v>
      </c>
      <c r="E283" t="s">
        <v>27</v>
      </c>
      <c r="F283" t="s">
        <v>160</v>
      </c>
      <c r="G283" t="s">
        <v>147</v>
      </c>
      <c r="H283" t="s">
        <v>32</v>
      </c>
      <c r="I283">
        <v>6</v>
      </c>
      <c r="J283">
        <v>1902490</v>
      </c>
      <c r="K283">
        <v>50000</v>
      </c>
      <c r="L283" t="s">
        <v>137</v>
      </c>
      <c r="M283" t="s">
        <v>149</v>
      </c>
      <c r="N283" t="s">
        <v>156</v>
      </c>
    </row>
    <row r="284" spans="1:14" x14ac:dyDescent="0.25">
      <c r="A284" t="s">
        <v>671</v>
      </c>
      <c r="B284" t="s">
        <v>672</v>
      </c>
      <c r="C284" t="s">
        <v>452</v>
      </c>
      <c r="D284" t="s">
        <v>1372</v>
      </c>
      <c r="E284" t="s">
        <v>34</v>
      </c>
      <c r="F284" t="s">
        <v>160</v>
      </c>
      <c r="G284" t="s">
        <v>39</v>
      </c>
      <c r="H284" t="s">
        <v>32</v>
      </c>
      <c r="I284">
        <v>1</v>
      </c>
      <c r="J284">
        <v>1064006</v>
      </c>
      <c r="K284">
        <v>15000</v>
      </c>
      <c r="L284" t="s">
        <v>137</v>
      </c>
      <c r="M284" t="s">
        <v>161</v>
      </c>
      <c r="N284" t="s">
        <v>139</v>
      </c>
    </row>
    <row r="285" spans="1:14" x14ac:dyDescent="0.25">
      <c r="A285" t="s">
        <v>673</v>
      </c>
      <c r="B285" t="s">
        <v>556</v>
      </c>
      <c r="C285" t="s">
        <v>231</v>
      </c>
      <c r="D285">
        <v>46118</v>
      </c>
      <c r="E285" t="s">
        <v>23</v>
      </c>
      <c r="F285" t="s">
        <v>1346</v>
      </c>
      <c r="G285" t="s">
        <v>136</v>
      </c>
      <c r="H285" t="s">
        <v>32</v>
      </c>
      <c r="I285">
        <v>6</v>
      </c>
      <c r="J285">
        <v>594935</v>
      </c>
      <c r="K285">
        <v>25000</v>
      </c>
      <c r="L285" t="s">
        <v>137</v>
      </c>
      <c r="M285" t="s">
        <v>138</v>
      </c>
      <c r="N285" t="s">
        <v>139</v>
      </c>
    </row>
    <row r="286" spans="1:14" x14ac:dyDescent="0.25">
      <c r="A286" t="s">
        <v>674</v>
      </c>
      <c r="B286" t="s">
        <v>233</v>
      </c>
      <c r="C286" t="s">
        <v>36</v>
      </c>
      <c r="D286">
        <v>46077</v>
      </c>
      <c r="E286" t="s">
        <v>27</v>
      </c>
      <c r="F286" t="s">
        <v>160</v>
      </c>
      <c r="G286" t="s">
        <v>39</v>
      </c>
      <c r="H286" t="s">
        <v>35</v>
      </c>
      <c r="I286">
        <v>4</v>
      </c>
      <c r="J286" t="s">
        <v>675</v>
      </c>
      <c r="K286">
        <v>50000</v>
      </c>
      <c r="L286" t="s">
        <v>137</v>
      </c>
      <c r="M286" t="s">
        <v>503</v>
      </c>
      <c r="N286" t="s">
        <v>139</v>
      </c>
    </row>
    <row r="287" spans="1:14" x14ac:dyDescent="0.25">
      <c r="A287" t="s">
        <v>676</v>
      </c>
      <c r="B287" t="s">
        <v>525</v>
      </c>
      <c r="C287" t="s">
        <v>526</v>
      </c>
      <c r="D287">
        <v>46114</v>
      </c>
      <c r="E287" t="s">
        <v>23</v>
      </c>
      <c r="F287" t="s">
        <v>1346</v>
      </c>
      <c r="G287" t="s">
        <v>169</v>
      </c>
      <c r="H287" t="s">
        <v>29</v>
      </c>
      <c r="I287">
        <v>4</v>
      </c>
      <c r="J287">
        <v>144709</v>
      </c>
      <c r="K287">
        <v>50000</v>
      </c>
      <c r="L287" t="s">
        <v>214</v>
      </c>
      <c r="M287" t="s">
        <v>138</v>
      </c>
      <c r="N287" t="s">
        <v>139</v>
      </c>
    </row>
    <row r="288" spans="1:14" x14ac:dyDescent="0.25">
      <c r="A288" t="s">
        <v>677</v>
      </c>
      <c r="B288" t="s">
        <v>678</v>
      </c>
      <c r="C288" t="s">
        <v>679</v>
      </c>
      <c r="D288">
        <v>46025</v>
      </c>
      <c r="E288" t="s">
        <v>18</v>
      </c>
      <c r="F288" t="s">
        <v>28</v>
      </c>
      <c r="G288" t="s">
        <v>173</v>
      </c>
      <c r="H288" t="s">
        <v>32</v>
      </c>
      <c r="I288">
        <v>4</v>
      </c>
      <c r="J288">
        <v>545041</v>
      </c>
      <c r="K288">
        <v>35000</v>
      </c>
      <c r="L288" t="s">
        <v>137</v>
      </c>
      <c r="M288" t="s">
        <v>138</v>
      </c>
      <c r="N288" t="s">
        <v>156</v>
      </c>
    </row>
    <row r="289" spans="1:14" x14ac:dyDescent="0.25">
      <c r="A289" t="s">
        <v>680</v>
      </c>
      <c r="B289" t="s">
        <v>681</v>
      </c>
      <c r="C289" t="s">
        <v>317</v>
      </c>
      <c r="D289">
        <v>46191</v>
      </c>
      <c r="E289" t="s">
        <v>31</v>
      </c>
      <c r="F289" t="s">
        <v>143</v>
      </c>
      <c r="G289" t="s">
        <v>147</v>
      </c>
      <c r="H289" t="s">
        <v>95</v>
      </c>
      <c r="I289">
        <v>4</v>
      </c>
      <c r="J289">
        <v>1169141</v>
      </c>
      <c r="K289">
        <v>15000</v>
      </c>
      <c r="L289" t="s">
        <v>137</v>
      </c>
      <c r="M289" t="s">
        <v>161</v>
      </c>
      <c r="N289" t="s">
        <v>156</v>
      </c>
    </row>
    <row r="290" spans="1:14" x14ac:dyDescent="0.25">
      <c r="A290" t="s">
        <v>682</v>
      </c>
      <c r="B290" t="s">
        <v>683</v>
      </c>
      <c r="C290" t="s">
        <v>684</v>
      </c>
      <c r="D290">
        <v>46191</v>
      </c>
      <c r="E290" t="s">
        <v>34</v>
      </c>
      <c r="F290" t="s">
        <v>143</v>
      </c>
      <c r="G290" t="s">
        <v>173</v>
      </c>
      <c r="H290" t="s">
        <v>29</v>
      </c>
      <c r="I290">
        <v>2</v>
      </c>
      <c r="J290">
        <v>1962795</v>
      </c>
      <c r="K290">
        <v>15000</v>
      </c>
      <c r="L290" t="s">
        <v>137</v>
      </c>
      <c r="M290" t="s">
        <v>138</v>
      </c>
      <c r="N290" t="s">
        <v>139</v>
      </c>
    </row>
    <row r="291" spans="1:14" x14ac:dyDescent="0.25">
      <c r="A291" t="s">
        <v>685</v>
      </c>
      <c r="B291" t="s">
        <v>398</v>
      </c>
      <c r="C291" t="s">
        <v>399</v>
      </c>
      <c r="D291">
        <v>46057</v>
      </c>
      <c r="E291" t="s">
        <v>18</v>
      </c>
      <c r="F291" t="s">
        <v>28</v>
      </c>
      <c r="G291" t="s">
        <v>169</v>
      </c>
      <c r="H291" t="s">
        <v>25</v>
      </c>
      <c r="I291">
        <v>6</v>
      </c>
      <c r="J291">
        <v>1774845</v>
      </c>
      <c r="K291">
        <v>35000</v>
      </c>
      <c r="L291" t="s">
        <v>262</v>
      </c>
      <c r="M291" t="s">
        <v>161</v>
      </c>
      <c r="N291" t="s">
        <v>156</v>
      </c>
    </row>
    <row r="292" spans="1:14" x14ac:dyDescent="0.25">
      <c r="A292" t="s">
        <v>686</v>
      </c>
      <c r="B292" t="s">
        <v>445</v>
      </c>
      <c r="C292" t="s">
        <v>446</v>
      </c>
      <c r="D292">
        <v>46148</v>
      </c>
      <c r="E292" t="s">
        <v>31</v>
      </c>
      <c r="F292" t="s">
        <v>28</v>
      </c>
      <c r="G292" t="s">
        <v>177</v>
      </c>
      <c r="H292" t="s">
        <v>20</v>
      </c>
      <c r="I292">
        <v>7</v>
      </c>
      <c r="J292">
        <v>2427385</v>
      </c>
      <c r="K292">
        <v>35000</v>
      </c>
      <c r="L292" t="s">
        <v>137</v>
      </c>
      <c r="M292" t="s">
        <v>161</v>
      </c>
      <c r="N292" t="s">
        <v>156</v>
      </c>
    </row>
    <row r="293" spans="1:14" x14ac:dyDescent="0.25">
      <c r="A293" t="s">
        <v>687</v>
      </c>
      <c r="B293" t="s">
        <v>467</v>
      </c>
      <c r="C293" t="s">
        <v>198</v>
      </c>
      <c r="D293">
        <v>46028</v>
      </c>
      <c r="E293" t="s">
        <v>18</v>
      </c>
      <c r="F293" t="s">
        <v>160</v>
      </c>
      <c r="G293" t="s">
        <v>169</v>
      </c>
      <c r="H293" t="s">
        <v>94</v>
      </c>
      <c r="I293">
        <v>3</v>
      </c>
      <c r="J293">
        <v>649000</v>
      </c>
      <c r="K293">
        <v>15000</v>
      </c>
      <c r="L293" t="s">
        <v>137</v>
      </c>
      <c r="M293" t="s">
        <v>138</v>
      </c>
      <c r="N293" t="s">
        <v>139</v>
      </c>
    </row>
    <row r="294" spans="1:14" x14ac:dyDescent="0.25">
      <c r="A294" t="s">
        <v>688</v>
      </c>
      <c r="B294" t="s">
        <v>689</v>
      </c>
      <c r="C294" t="s">
        <v>441</v>
      </c>
      <c r="D294">
        <v>46025</v>
      </c>
      <c r="E294" t="s">
        <v>31</v>
      </c>
      <c r="F294" t="s">
        <v>143</v>
      </c>
      <c r="G294" t="s">
        <v>147</v>
      </c>
      <c r="H294" t="s">
        <v>29</v>
      </c>
      <c r="I294">
        <v>3</v>
      </c>
      <c r="J294">
        <v>1941705</v>
      </c>
      <c r="K294">
        <v>35000</v>
      </c>
      <c r="L294" t="s">
        <v>137</v>
      </c>
      <c r="M294" t="s">
        <v>161</v>
      </c>
      <c r="N294" t="s">
        <v>156</v>
      </c>
    </row>
    <row r="295" spans="1:14" x14ac:dyDescent="0.25">
      <c r="A295" t="s">
        <v>690</v>
      </c>
      <c r="B295" t="s">
        <v>486</v>
      </c>
      <c r="C295" t="s">
        <v>172</v>
      </c>
      <c r="D295">
        <v>46094</v>
      </c>
      <c r="E295" t="s">
        <v>18</v>
      </c>
      <c r="F295" t="s">
        <v>28</v>
      </c>
      <c r="G295" t="s">
        <v>1370</v>
      </c>
      <c r="H295" t="s">
        <v>20</v>
      </c>
      <c r="I295">
        <v>6</v>
      </c>
      <c r="J295">
        <v>602428</v>
      </c>
      <c r="K295">
        <v>25000</v>
      </c>
      <c r="L295" t="s">
        <v>137</v>
      </c>
      <c r="M295" t="s">
        <v>165</v>
      </c>
      <c r="N295" t="s">
        <v>156</v>
      </c>
    </row>
    <row r="296" spans="1:14" x14ac:dyDescent="0.25">
      <c r="A296" t="s">
        <v>691</v>
      </c>
      <c r="B296" t="s">
        <v>376</v>
      </c>
      <c r="C296" t="s">
        <v>261</v>
      </c>
      <c r="D296">
        <v>46174</v>
      </c>
      <c r="E296" t="s">
        <v>18</v>
      </c>
      <c r="F296" t="s">
        <v>143</v>
      </c>
      <c r="G296" t="s">
        <v>39</v>
      </c>
      <c r="H296" t="s">
        <v>20</v>
      </c>
      <c r="I296">
        <v>1</v>
      </c>
      <c r="J296">
        <v>743802</v>
      </c>
      <c r="K296">
        <v>15000</v>
      </c>
      <c r="L296" t="s">
        <v>137</v>
      </c>
      <c r="M296" t="s">
        <v>161</v>
      </c>
      <c r="N296" t="s">
        <v>156</v>
      </c>
    </row>
    <row r="297" spans="1:14" x14ac:dyDescent="0.25">
      <c r="A297" t="s">
        <v>692</v>
      </c>
      <c r="B297" t="s">
        <v>693</v>
      </c>
      <c r="C297" t="s">
        <v>164</v>
      </c>
      <c r="D297" t="s">
        <v>1373</v>
      </c>
      <c r="E297" t="s">
        <v>18</v>
      </c>
      <c r="F297" t="s">
        <v>143</v>
      </c>
      <c r="G297" t="s">
        <v>136</v>
      </c>
      <c r="H297" t="s">
        <v>32</v>
      </c>
      <c r="J297">
        <v>1715314</v>
      </c>
      <c r="K297">
        <v>35000</v>
      </c>
      <c r="L297" t="s">
        <v>137</v>
      </c>
      <c r="M297" t="s">
        <v>138</v>
      </c>
      <c r="N297" t="s">
        <v>139</v>
      </c>
    </row>
    <row r="298" spans="1:14" x14ac:dyDescent="0.25">
      <c r="A298" t="s">
        <v>694</v>
      </c>
      <c r="B298" t="s">
        <v>695</v>
      </c>
      <c r="C298" t="s">
        <v>452</v>
      </c>
      <c r="D298">
        <v>46153</v>
      </c>
      <c r="E298" t="s">
        <v>34</v>
      </c>
      <c r="F298" t="s">
        <v>28</v>
      </c>
      <c r="G298" t="s">
        <v>177</v>
      </c>
      <c r="H298" t="s">
        <v>25</v>
      </c>
      <c r="I298">
        <v>3</v>
      </c>
      <c r="J298">
        <v>1911273</v>
      </c>
      <c r="K298">
        <v>0</v>
      </c>
      <c r="L298" t="s">
        <v>137</v>
      </c>
      <c r="M298" t="s">
        <v>138</v>
      </c>
      <c r="N298" t="s">
        <v>156</v>
      </c>
    </row>
    <row r="299" spans="1:14" x14ac:dyDescent="0.25">
      <c r="A299" t="s">
        <v>696</v>
      </c>
      <c r="B299" t="s">
        <v>359</v>
      </c>
      <c r="C299" t="s">
        <v>146</v>
      </c>
      <c r="D299">
        <v>46033</v>
      </c>
      <c r="E299" t="s">
        <v>31</v>
      </c>
      <c r="F299" t="s">
        <v>1374</v>
      </c>
      <c r="G299" t="s">
        <v>1360</v>
      </c>
      <c r="H299" t="s">
        <v>20</v>
      </c>
      <c r="I299">
        <v>6</v>
      </c>
      <c r="J299">
        <v>122247</v>
      </c>
      <c r="K299">
        <v>0</v>
      </c>
      <c r="L299" t="s">
        <v>137</v>
      </c>
      <c r="M299" t="s">
        <v>161</v>
      </c>
      <c r="N299" t="s">
        <v>139</v>
      </c>
    </row>
    <row r="300" spans="1:14" x14ac:dyDescent="0.25">
      <c r="A300" t="s">
        <v>697</v>
      </c>
      <c r="B300" t="s">
        <v>260</v>
      </c>
      <c r="C300" t="s">
        <v>261</v>
      </c>
      <c r="D300">
        <v>46087</v>
      </c>
      <c r="E300" t="s">
        <v>91</v>
      </c>
      <c r="F300" t="s">
        <v>143</v>
      </c>
      <c r="G300" t="s">
        <v>136</v>
      </c>
      <c r="H300" t="s">
        <v>25</v>
      </c>
      <c r="I300">
        <v>3</v>
      </c>
      <c r="J300">
        <v>2180604</v>
      </c>
      <c r="K300">
        <v>25000</v>
      </c>
      <c r="L300" t="s">
        <v>137</v>
      </c>
      <c r="M300" t="s">
        <v>161</v>
      </c>
      <c r="N300" t="s">
        <v>139</v>
      </c>
    </row>
    <row r="301" spans="1:14" x14ac:dyDescent="0.25">
      <c r="A301" t="s">
        <v>698</v>
      </c>
      <c r="B301" t="s">
        <v>253</v>
      </c>
      <c r="C301" t="s">
        <v>176</v>
      </c>
      <c r="D301">
        <v>46173</v>
      </c>
      <c r="E301" t="s">
        <v>27</v>
      </c>
      <c r="F301" t="s">
        <v>28</v>
      </c>
      <c r="G301" t="s">
        <v>173</v>
      </c>
      <c r="H301" t="s">
        <v>20</v>
      </c>
      <c r="I301">
        <v>3</v>
      </c>
      <c r="J301">
        <v>2338208</v>
      </c>
      <c r="K301">
        <v>50000</v>
      </c>
      <c r="L301" t="s">
        <v>137</v>
      </c>
      <c r="M301" t="s">
        <v>161</v>
      </c>
      <c r="N301" t="s">
        <v>156</v>
      </c>
    </row>
    <row r="302" spans="1:14" x14ac:dyDescent="0.25">
      <c r="A302" t="s">
        <v>699</v>
      </c>
      <c r="B302" t="s">
        <v>434</v>
      </c>
      <c r="C302" t="s">
        <v>435</v>
      </c>
      <c r="D302">
        <v>46177</v>
      </c>
      <c r="E302" t="s">
        <v>18</v>
      </c>
      <c r="F302" t="s">
        <v>28</v>
      </c>
      <c r="G302" t="s">
        <v>173</v>
      </c>
      <c r="H302" t="s">
        <v>20</v>
      </c>
      <c r="I302">
        <v>5</v>
      </c>
      <c r="J302">
        <v>624802</v>
      </c>
      <c r="K302">
        <v>0</v>
      </c>
      <c r="L302" t="s">
        <v>37</v>
      </c>
      <c r="M302" t="s">
        <v>149</v>
      </c>
      <c r="N302" t="s">
        <v>139</v>
      </c>
    </row>
    <row r="303" spans="1:14" x14ac:dyDescent="0.25">
      <c r="A303" t="s">
        <v>700</v>
      </c>
      <c r="B303" t="s">
        <v>370</v>
      </c>
      <c r="C303" t="s">
        <v>180</v>
      </c>
      <c r="D303">
        <v>46144</v>
      </c>
      <c r="E303" t="s">
        <v>31</v>
      </c>
      <c r="F303" t="s">
        <v>1346</v>
      </c>
      <c r="G303" t="s">
        <v>147</v>
      </c>
      <c r="H303" t="s">
        <v>25</v>
      </c>
      <c r="I303">
        <v>6</v>
      </c>
      <c r="J303">
        <v>967245</v>
      </c>
      <c r="K303">
        <v>50000</v>
      </c>
      <c r="L303" t="s">
        <v>137</v>
      </c>
      <c r="M303" t="s">
        <v>161</v>
      </c>
      <c r="N303" t="s">
        <v>139</v>
      </c>
    </row>
    <row r="304" spans="1:14" x14ac:dyDescent="0.25">
      <c r="A304" t="s">
        <v>701</v>
      </c>
      <c r="B304" t="s">
        <v>204</v>
      </c>
      <c r="C304" t="s">
        <v>205</v>
      </c>
      <c r="D304">
        <v>46184</v>
      </c>
      <c r="E304" t="s">
        <v>27</v>
      </c>
      <c r="F304" t="s">
        <v>160</v>
      </c>
      <c r="G304" t="s">
        <v>177</v>
      </c>
      <c r="H304" t="s">
        <v>35</v>
      </c>
      <c r="I304">
        <v>1</v>
      </c>
      <c r="J304">
        <v>612532</v>
      </c>
      <c r="K304">
        <v>35000</v>
      </c>
      <c r="L304" t="s">
        <v>137</v>
      </c>
      <c r="M304" t="s">
        <v>138</v>
      </c>
      <c r="N304" t="s">
        <v>139</v>
      </c>
    </row>
    <row r="305" spans="1:14" x14ac:dyDescent="0.25">
      <c r="A305" t="s">
        <v>702</v>
      </c>
      <c r="B305" t="s">
        <v>601</v>
      </c>
      <c r="C305" t="s">
        <v>176</v>
      </c>
      <c r="D305">
        <v>46056</v>
      </c>
      <c r="E305" t="s">
        <v>18</v>
      </c>
      <c r="F305" t="s">
        <v>28</v>
      </c>
      <c r="G305" t="s">
        <v>39</v>
      </c>
      <c r="H305" t="s">
        <v>35</v>
      </c>
      <c r="I305">
        <v>5</v>
      </c>
      <c r="J305">
        <v>1334906</v>
      </c>
      <c r="K305">
        <v>0</v>
      </c>
      <c r="L305" t="s">
        <v>137</v>
      </c>
      <c r="M305" t="s">
        <v>149</v>
      </c>
      <c r="N305" t="s">
        <v>156</v>
      </c>
    </row>
    <row r="306" spans="1:14" x14ac:dyDescent="0.25">
      <c r="A306" t="s">
        <v>703</v>
      </c>
      <c r="B306" t="s">
        <v>197</v>
      </c>
      <c r="C306" t="s">
        <v>198</v>
      </c>
      <c r="D306">
        <v>46135</v>
      </c>
      <c r="E306" t="s">
        <v>34</v>
      </c>
      <c r="F306" t="s">
        <v>143</v>
      </c>
      <c r="G306" t="s">
        <v>177</v>
      </c>
      <c r="H306" t="s">
        <v>20</v>
      </c>
      <c r="I306">
        <v>5</v>
      </c>
      <c r="J306">
        <v>2256068</v>
      </c>
      <c r="K306">
        <v>35000</v>
      </c>
      <c r="L306" t="s">
        <v>137</v>
      </c>
      <c r="M306" t="s">
        <v>138</v>
      </c>
      <c r="N306" t="s">
        <v>156</v>
      </c>
    </row>
    <row r="307" spans="1:14" x14ac:dyDescent="0.25">
      <c r="A307" t="s">
        <v>704</v>
      </c>
      <c r="B307" t="s">
        <v>705</v>
      </c>
      <c r="C307" t="s">
        <v>1375</v>
      </c>
      <c r="D307">
        <v>46078</v>
      </c>
      <c r="E307" t="s">
        <v>34</v>
      </c>
      <c r="F307" t="s">
        <v>1346</v>
      </c>
      <c r="G307" t="s">
        <v>177</v>
      </c>
      <c r="H307" t="s">
        <v>25</v>
      </c>
      <c r="I307">
        <v>4</v>
      </c>
      <c r="J307">
        <v>157167</v>
      </c>
      <c r="K307">
        <v>50000</v>
      </c>
      <c r="L307" t="s">
        <v>137</v>
      </c>
      <c r="M307" t="s">
        <v>138</v>
      </c>
      <c r="N307" t="s">
        <v>139</v>
      </c>
    </row>
    <row r="308" spans="1:14" x14ac:dyDescent="0.25">
      <c r="A308" t="s">
        <v>706</v>
      </c>
      <c r="B308" t="s">
        <v>230</v>
      </c>
      <c r="C308" t="s">
        <v>231</v>
      </c>
      <c r="D308">
        <v>46053</v>
      </c>
      <c r="E308" t="s">
        <v>18</v>
      </c>
      <c r="F308" t="s">
        <v>1346</v>
      </c>
      <c r="G308" t="s">
        <v>177</v>
      </c>
      <c r="H308" t="s">
        <v>25</v>
      </c>
      <c r="I308">
        <v>1</v>
      </c>
      <c r="J308">
        <v>837683</v>
      </c>
      <c r="K308">
        <v>15000</v>
      </c>
      <c r="L308" t="s">
        <v>137</v>
      </c>
      <c r="M308" t="s">
        <v>161</v>
      </c>
      <c r="N308" t="s">
        <v>156</v>
      </c>
    </row>
    <row r="309" spans="1:14" x14ac:dyDescent="0.25">
      <c r="A309" t="s">
        <v>707</v>
      </c>
      <c r="B309" t="s">
        <v>708</v>
      </c>
      <c r="C309" t="s">
        <v>220</v>
      </c>
      <c r="D309">
        <v>46086</v>
      </c>
      <c r="E309" t="s">
        <v>27</v>
      </c>
      <c r="F309" t="s">
        <v>1346</v>
      </c>
      <c r="G309" t="s">
        <v>136</v>
      </c>
      <c r="H309" t="s">
        <v>20</v>
      </c>
      <c r="I309">
        <v>1</v>
      </c>
      <c r="J309">
        <v>1000688</v>
      </c>
      <c r="K309">
        <v>50000</v>
      </c>
      <c r="L309" t="s">
        <v>137</v>
      </c>
      <c r="M309" t="s">
        <v>161</v>
      </c>
      <c r="N309" t="s">
        <v>139</v>
      </c>
    </row>
    <row r="310" spans="1:14" x14ac:dyDescent="0.25">
      <c r="A310" t="s">
        <v>709</v>
      </c>
      <c r="B310" t="s">
        <v>551</v>
      </c>
      <c r="C310" t="s">
        <v>452</v>
      </c>
      <c r="D310">
        <v>46057</v>
      </c>
      <c r="E310" t="s">
        <v>23</v>
      </c>
      <c r="F310" t="s">
        <v>1346</v>
      </c>
      <c r="G310" t="s">
        <v>177</v>
      </c>
      <c r="H310" t="s">
        <v>25</v>
      </c>
      <c r="I310">
        <v>3</v>
      </c>
      <c r="J310">
        <v>1832714</v>
      </c>
      <c r="K310">
        <v>50000</v>
      </c>
      <c r="L310" t="s">
        <v>137</v>
      </c>
      <c r="M310" t="s">
        <v>161</v>
      </c>
      <c r="N310" t="s">
        <v>156</v>
      </c>
    </row>
    <row r="311" spans="1:14" x14ac:dyDescent="0.25">
      <c r="A311" t="s">
        <v>710</v>
      </c>
      <c r="B311" t="s">
        <v>543</v>
      </c>
      <c r="C311" t="s">
        <v>1376</v>
      </c>
      <c r="D311">
        <v>46027</v>
      </c>
      <c r="E311" t="s">
        <v>34</v>
      </c>
      <c r="F311" t="s">
        <v>143</v>
      </c>
      <c r="G311" t="s">
        <v>39</v>
      </c>
      <c r="H311" t="s">
        <v>29</v>
      </c>
      <c r="I311">
        <v>1</v>
      </c>
      <c r="J311">
        <v>2373971</v>
      </c>
      <c r="K311">
        <v>50000</v>
      </c>
      <c r="L311" t="s">
        <v>137</v>
      </c>
      <c r="M311" t="s">
        <v>138</v>
      </c>
      <c r="N311" t="s">
        <v>139</v>
      </c>
    </row>
    <row r="312" spans="1:14" x14ac:dyDescent="0.25">
      <c r="A312" t="s">
        <v>711</v>
      </c>
      <c r="B312" t="s">
        <v>396</v>
      </c>
      <c r="C312" t="s">
        <v>246</v>
      </c>
      <c r="D312">
        <v>46075</v>
      </c>
      <c r="E312" t="s">
        <v>34</v>
      </c>
      <c r="F312" t="s">
        <v>143</v>
      </c>
      <c r="G312" t="s">
        <v>39</v>
      </c>
      <c r="H312" t="s">
        <v>20</v>
      </c>
      <c r="I312">
        <v>4</v>
      </c>
      <c r="J312">
        <v>1778693</v>
      </c>
      <c r="K312">
        <v>15000</v>
      </c>
      <c r="L312" t="s">
        <v>137</v>
      </c>
      <c r="M312" t="s">
        <v>138</v>
      </c>
      <c r="N312" t="s">
        <v>139</v>
      </c>
    </row>
    <row r="313" spans="1:14" x14ac:dyDescent="0.25">
      <c r="A313" t="s">
        <v>712</v>
      </c>
      <c r="B313" t="s">
        <v>359</v>
      </c>
      <c r="C313" t="s">
        <v>146</v>
      </c>
      <c r="D313">
        <v>46140</v>
      </c>
      <c r="E313" t="s">
        <v>18</v>
      </c>
      <c r="F313" t="s">
        <v>1346</v>
      </c>
      <c r="G313" t="s">
        <v>173</v>
      </c>
      <c r="H313" t="s">
        <v>25</v>
      </c>
      <c r="I313">
        <v>2</v>
      </c>
      <c r="J313">
        <v>896063</v>
      </c>
      <c r="K313">
        <v>15000</v>
      </c>
      <c r="L313" t="s">
        <v>137</v>
      </c>
      <c r="M313" t="s">
        <v>149</v>
      </c>
      <c r="N313" t="s">
        <v>156</v>
      </c>
    </row>
    <row r="314" spans="1:14" x14ac:dyDescent="0.25">
      <c r="A314" t="s">
        <v>713</v>
      </c>
      <c r="B314" t="s">
        <v>492</v>
      </c>
      <c r="C314" t="s">
        <v>146</v>
      </c>
      <c r="D314">
        <v>46068</v>
      </c>
      <c r="E314" t="s">
        <v>18</v>
      </c>
      <c r="F314" t="s">
        <v>28</v>
      </c>
      <c r="G314" t="s">
        <v>169</v>
      </c>
      <c r="H314" t="s">
        <v>32</v>
      </c>
      <c r="I314">
        <v>2</v>
      </c>
      <c r="J314">
        <v>1773383</v>
      </c>
      <c r="K314">
        <v>50000</v>
      </c>
      <c r="L314" t="s">
        <v>137</v>
      </c>
      <c r="M314" t="s">
        <v>161</v>
      </c>
      <c r="N314" t="s">
        <v>156</v>
      </c>
    </row>
    <row r="315" spans="1:14" x14ac:dyDescent="0.25">
      <c r="A315" t="s">
        <v>714</v>
      </c>
      <c r="B315" t="s">
        <v>267</v>
      </c>
      <c r="C315" t="s">
        <v>281</v>
      </c>
      <c r="D315">
        <v>46157</v>
      </c>
      <c r="E315" t="s">
        <v>23</v>
      </c>
      <c r="F315" t="s">
        <v>160</v>
      </c>
      <c r="G315" t="s">
        <v>169</v>
      </c>
      <c r="H315" t="s">
        <v>20</v>
      </c>
      <c r="I315">
        <v>5</v>
      </c>
      <c r="J315">
        <v>695841</v>
      </c>
      <c r="K315">
        <v>0</v>
      </c>
      <c r="L315" t="s">
        <v>137</v>
      </c>
      <c r="M315" t="s">
        <v>138</v>
      </c>
      <c r="N315" t="s">
        <v>156</v>
      </c>
    </row>
    <row r="316" spans="1:14" x14ac:dyDescent="0.25">
      <c r="A316" t="s">
        <v>715</v>
      </c>
      <c r="B316" t="s">
        <v>486</v>
      </c>
      <c r="C316" t="s">
        <v>172</v>
      </c>
      <c r="D316">
        <v>46044</v>
      </c>
      <c r="E316" t="s">
        <v>105</v>
      </c>
      <c r="F316" t="s">
        <v>160</v>
      </c>
      <c r="G316" t="s">
        <v>147</v>
      </c>
      <c r="H316" t="s">
        <v>25</v>
      </c>
      <c r="I316">
        <v>6</v>
      </c>
      <c r="J316">
        <v>1242632</v>
      </c>
      <c r="K316">
        <v>15000</v>
      </c>
      <c r="L316" t="s">
        <v>137</v>
      </c>
      <c r="M316" t="s">
        <v>165</v>
      </c>
      <c r="N316" t="s">
        <v>156</v>
      </c>
    </row>
    <row r="317" spans="1:14" x14ac:dyDescent="0.25">
      <c r="A317" t="s">
        <v>716</v>
      </c>
      <c r="B317" t="s">
        <v>316</v>
      </c>
      <c r="C317" t="s">
        <v>317</v>
      </c>
      <c r="D317">
        <v>46058</v>
      </c>
      <c r="E317" t="s">
        <v>18</v>
      </c>
      <c r="F317" t="s">
        <v>160</v>
      </c>
      <c r="G317" t="s">
        <v>147</v>
      </c>
      <c r="H317" t="s">
        <v>25</v>
      </c>
      <c r="I317">
        <v>4</v>
      </c>
      <c r="J317">
        <v>2135050</v>
      </c>
      <c r="K317">
        <v>50000</v>
      </c>
      <c r="L317" t="s">
        <v>148</v>
      </c>
      <c r="M317" t="s">
        <v>165</v>
      </c>
      <c r="N317" t="s">
        <v>156</v>
      </c>
    </row>
    <row r="318" spans="1:14" x14ac:dyDescent="0.25">
      <c r="A318" t="s">
        <v>717</v>
      </c>
      <c r="B318" t="s">
        <v>718</v>
      </c>
      <c r="C318" t="s">
        <v>155</v>
      </c>
      <c r="D318">
        <v>46034</v>
      </c>
      <c r="E318" t="s">
        <v>31</v>
      </c>
      <c r="F318" t="s">
        <v>143</v>
      </c>
      <c r="G318" t="s">
        <v>173</v>
      </c>
      <c r="H318" t="s">
        <v>29</v>
      </c>
      <c r="I318">
        <v>3</v>
      </c>
      <c r="J318">
        <v>551238</v>
      </c>
      <c r="K318">
        <v>50000</v>
      </c>
      <c r="L318" t="s">
        <v>137</v>
      </c>
      <c r="M318" t="s">
        <v>165</v>
      </c>
      <c r="N318" t="s">
        <v>156</v>
      </c>
    </row>
    <row r="319" spans="1:14" x14ac:dyDescent="0.25">
      <c r="A319" t="s">
        <v>719</v>
      </c>
      <c r="B319" t="s">
        <v>720</v>
      </c>
      <c r="C319" t="s">
        <v>33</v>
      </c>
      <c r="D319">
        <v>46132</v>
      </c>
      <c r="E319" t="s">
        <v>31</v>
      </c>
      <c r="F319" t="s">
        <v>160</v>
      </c>
      <c r="G319" t="s">
        <v>39</v>
      </c>
      <c r="H319" t="s">
        <v>29</v>
      </c>
      <c r="I319">
        <v>3</v>
      </c>
      <c r="J319">
        <v>1736413</v>
      </c>
      <c r="K319">
        <v>15000</v>
      </c>
      <c r="L319" t="s">
        <v>137</v>
      </c>
      <c r="M319" t="s">
        <v>161</v>
      </c>
      <c r="N319" t="s">
        <v>156</v>
      </c>
    </row>
    <row r="320" spans="1:14" x14ac:dyDescent="0.25">
      <c r="A320" t="s">
        <v>721</v>
      </c>
      <c r="B320" t="s">
        <v>722</v>
      </c>
      <c r="C320" t="s">
        <v>172</v>
      </c>
      <c r="D320">
        <v>46049</v>
      </c>
      <c r="E320" t="s">
        <v>23</v>
      </c>
      <c r="F320" t="s">
        <v>160</v>
      </c>
      <c r="G320" t="s">
        <v>147</v>
      </c>
      <c r="H320" t="s">
        <v>29</v>
      </c>
      <c r="I320">
        <v>1</v>
      </c>
      <c r="J320">
        <v>1302014</v>
      </c>
      <c r="K320">
        <v>25000</v>
      </c>
      <c r="L320" t="s">
        <v>137</v>
      </c>
      <c r="M320" t="s">
        <v>161</v>
      </c>
      <c r="N320" t="s">
        <v>156</v>
      </c>
    </row>
    <row r="321" spans="1:14" x14ac:dyDescent="0.25">
      <c r="A321" t="s">
        <v>723</v>
      </c>
      <c r="B321" t="s">
        <v>595</v>
      </c>
      <c r="C321" t="s">
        <v>441</v>
      </c>
      <c r="D321">
        <v>46158</v>
      </c>
      <c r="E321" t="s">
        <v>34</v>
      </c>
      <c r="F321" t="s">
        <v>1346</v>
      </c>
      <c r="G321" t="s">
        <v>136</v>
      </c>
      <c r="H321" t="s">
        <v>20</v>
      </c>
      <c r="I321">
        <v>2</v>
      </c>
      <c r="J321">
        <v>1524437</v>
      </c>
      <c r="K321">
        <v>50000</v>
      </c>
      <c r="L321" t="s">
        <v>137</v>
      </c>
      <c r="M321" t="s">
        <v>161</v>
      </c>
      <c r="N321" t="s">
        <v>139</v>
      </c>
    </row>
    <row r="322" spans="1:14" x14ac:dyDescent="0.25">
      <c r="A322" t="s">
        <v>724</v>
      </c>
      <c r="B322" t="s">
        <v>725</v>
      </c>
      <c r="C322" t="s">
        <v>726</v>
      </c>
      <c r="D322">
        <v>46150</v>
      </c>
      <c r="E322" t="s">
        <v>23</v>
      </c>
      <c r="F322" t="s">
        <v>143</v>
      </c>
      <c r="G322" t="s">
        <v>169</v>
      </c>
      <c r="H322" t="s">
        <v>29</v>
      </c>
      <c r="I322">
        <v>7</v>
      </c>
      <c r="J322">
        <v>1668170</v>
      </c>
      <c r="K322">
        <v>25000</v>
      </c>
      <c r="L322" t="s">
        <v>43</v>
      </c>
      <c r="M322" t="s">
        <v>165</v>
      </c>
      <c r="N322" t="s">
        <v>139</v>
      </c>
    </row>
    <row r="323" spans="1:14" x14ac:dyDescent="0.25">
      <c r="A323" t="s">
        <v>727</v>
      </c>
      <c r="B323" t="s">
        <v>219</v>
      </c>
      <c r="C323" t="s">
        <v>220</v>
      </c>
      <c r="D323">
        <v>46122</v>
      </c>
      <c r="E323" t="s">
        <v>34</v>
      </c>
      <c r="F323" t="s">
        <v>143</v>
      </c>
      <c r="G323" t="s">
        <v>173</v>
      </c>
      <c r="H323" t="s">
        <v>25</v>
      </c>
      <c r="I323">
        <v>7</v>
      </c>
      <c r="J323">
        <v>1993576</v>
      </c>
      <c r="K323">
        <v>35000</v>
      </c>
      <c r="L323" t="s">
        <v>137</v>
      </c>
      <c r="M323" t="s">
        <v>138</v>
      </c>
      <c r="N323" t="s">
        <v>156</v>
      </c>
    </row>
    <row r="324" spans="1:14" x14ac:dyDescent="0.25">
      <c r="A324" t="s">
        <v>728</v>
      </c>
      <c r="B324" t="s">
        <v>359</v>
      </c>
      <c r="C324" t="s">
        <v>146</v>
      </c>
      <c r="D324">
        <v>46121</v>
      </c>
      <c r="E324" t="s">
        <v>31</v>
      </c>
      <c r="F324" t="s">
        <v>1346</v>
      </c>
      <c r="G324" t="s">
        <v>177</v>
      </c>
      <c r="H324" t="s">
        <v>29</v>
      </c>
      <c r="I324">
        <v>4</v>
      </c>
      <c r="J324">
        <v>1598948</v>
      </c>
      <c r="K324">
        <v>25000</v>
      </c>
      <c r="L324" t="s">
        <v>137</v>
      </c>
      <c r="M324" t="s">
        <v>138</v>
      </c>
      <c r="N324" t="s">
        <v>139</v>
      </c>
    </row>
    <row r="325" spans="1:14" x14ac:dyDescent="0.25">
      <c r="A325" t="s">
        <v>729</v>
      </c>
      <c r="B325" t="s">
        <v>445</v>
      </c>
      <c r="C325" t="s">
        <v>446</v>
      </c>
      <c r="D325">
        <v>46163</v>
      </c>
      <c r="E325" t="s">
        <v>18</v>
      </c>
      <c r="F325" t="s">
        <v>28</v>
      </c>
      <c r="G325" t="s">
        <v>173</v>
      </c>
      <c r="H325" t="s">
        <v>35</v>
      </c>
      <c r="I325">
        <v>5</v>
      </c>
      <c r="J325">
        <v>2204998</v>
      </c>
      <c r="K325">
        <v>50000</v>
      </c>
      <c r="L325" t="s">
        <v>137</v>
      </c>
      <c r="M325" t="s">
        <v>407</v>
      </c>
      <c r="N325" t="s">
        <v>139</v>
      </c>
    </row>
    <row r="326" spans="1:14" x14ac:dyDescent="0.25">
      <c r="A326" t="s">
        <v>730</v>
      </c>
      <c r="B326" t="s">
        <v>731</v>
      </c>
      <c r="C326" t="s">
        <v>287</v>
      </c>
      <c r="D326">
        <v>46170</v>
      </c>
      <c r="E326" t="s">
        <v>23</v>
      </c>
      <c r="F326" t="s">
        <v>1346</v>
      </c>
      <c r="G326" t="s">
        <v>147</v>
      </c>
      <c r="H326" t="s">
        <v>32</v>
      </c>
      <c r="I326">
        <v>2</v>
      </c>
      <c r="J326">
        <v>1039953</v>
      </c>
      <c r="K326">
        <v>0</v>
      </c>
      <c r="L326" t="s">
        <v>137</v>
      </c>
      <c r="M326" t="s">
        <v>161</v>
      </c>
      <c r="N326" t="s">
        <v>156</v>
      </c>
    </row>
    <row r="327" spans="1:14" x14ac:dyDescent="0.25">
      <c r="A327" t="s">
        <v>732</v>
      </c>
      <c r="B327" t="s">
        <v>733</v>
      </c>
      <c r="C327" t="s">
        <v>726</v>
      </c>
      <c r="D327">
        <v>46051</v>
      </c>
      <c r="E327" t="s">
        <v>34</v>
      </c>
      <c r="F327" t="s">
        <v>28</v>
      </c>
      <c r="G327" t="s">
        <v>177</v>
      </c>
      <c r="H327" t="s">
        <v>35</v>
      </c>
      <c r="I327">
        <v>3</v>
      </c>
      <c r="J327" t="s">
        <v>734</v>
      </c>
      <c r="K327">
        <v>25000</v>
      </c>
      <c r="L327" t="s">
        <v>148</v>
      </c>
      <c r="M327" t="s">
        <v>149</v>
      </c>
      <c r="N327" t="s">
        <v>139</v>
      </c>
    </row>
    <row r="328" spans="1:14" x14ac:dyDescent="0.25">
      <c r="A328" t="s">
        <v>735</v>
      </c>
      <c r="B328" t="s">
        <v>736</v>
      </c>
      <c r="C328" t="s">
        <v>195</v>
      </c>
      <c r="D328">
        <v>46076</v>
      </c>
      <c r="E328" t="s">
        <v>18</v>
      </c>
      <c r="F328" t="s">
        <v>28</v>
      </c>
      <c r="G328" t="s">
        <v>169</v>
      </c>
      <c r="H328" t="s">
        <v>20</v>
      </c>
      <c r="I328">
        <v>6</v>
      </c>
      <c r="J328">
        <v>1061986</v>
      </c>
      <c r="K328">
        <v>0</v>
      </c>
      <c r="L328" t="s">
        <v>137</v>
      </c>
      <c r="M328" t="s">
        <v>149</v>
      </c>
      <c r="N328" t="s">
        <v>139</v>
      </c>
    </row>
    <row r="329" spans="1:14" x14ac:dyDescent="0.25">
      <c r="A329" t="s">
        <v>737</v>
      </c>
      <c r="B329" t="s">
        <v>237</v>
      </c>
      <c r="C329" t="s">
        <v>205</v>
      </c>
      <c r="D329">
        <v>46036</v>
      </c>
      <c r="E329" t="s">
        <v>18</v>
      </c>
      <c r="F329" t="s">
        <v>160</v>
      </c>
      <c r="G329" t="s">
        <v>177</v>
      </c>
      <c r="H329" t="s">
        <v>25</v>
      </c>
      <c r="I329">
        <v>1</v>
      </c>
      <c r="J329">
        <v>564637</v>
      </c>
      <c r="K329">
        <v>50000</v>
      </c>
      <c r="L329" t="s">
        <v>137</v>
      </c>
      <c r="M329" t="s">
        <v>138</v>
      </c>
      <c r="N329" t="s">
        <v>156</v>
      </c>
    </row>
    <row r="330" spans="1:14" x14ac:dyDescent="0.25">
      <c r="A330" t="s">
        <v>738</v>
      </c>
      <c r="B330" t="s">
        <v>739</v>
      </c>
      <c r="C330" t="s">
        <v>192</v>
      </c>
      <c r="D330">
        <v>46085</v>
      </c>
      <c r="E330" t="s">
        <v>31</v>
      </c>
      <c r="F330" t="s">
        <v>143</v>
      </c>
      <c r="G330" t="s">
        <v>169</v>
      </c>
      <c r="H330" t="s">
        <v>35</v>
      </c>
      <c r="I330">
        <v>5</v>
      </c>
      <c r="J330">
        <v>443235</v>
      </c>
      <c r="K330">
        <v>0</v>
      </c>
      <c r="L330" t="s">
        <v>417</v>
      </c>
      <c r="M330" t="s">
        <v>149</v>
      </c>
      <c r="N330" t="s">
        <v>139</v>
      </c>
    </row>
    <row r="331" spans="1:14" x14ac:dyDescent="0.25">
      <c r="A331" t="s">
        <v>740</v>
      </c>
      <c r="B331" t="s">
        <v>257</v>
      </c>
      <c r="C331" t="s">
        <v>258</v>
      </c>
      <c r="D331" t="s">
        <v>1377</v>
      </c>
      <c r="E331" t="s">
        <v>23</v>
      </c>
      <c r="F331" t="s">
        <v>143</v>
      </c>
      <c r="G331" t="s">
        <v>173</v>
      </c>
      <c r="H331" t="s">
        <v>20</v>
      </c>
      <c r="I331">
        <v>7</v>
      </c>
      <c r="J331">
        <v>1534893</v>
      </c>
      <c r="K331">
        <v>35000</v>
      </c>
      <c r="L331" t="s">
        <v>137</v>
      </c>
      <c r="M331" t="s">
        <v>161</v>
      </c>
      <c r="N331" t="s">
        <v>156</v>
      </c>
    </row>
    <row r="332" spans="1:14" x14ac:dyDescent="0.25">
      <c r="A332" t="s">
        <v>741</v>
      </c>
      <c r="B332" t="s">
        <v>635</v>
      </c>
      <c r="C332" t="s">
        <v>261</v>
      </c>
      <c r="D332">
        <v>46064</v>
      </c>
      <c r="E332" t="s">
        <v>31</v>
      </c>
      <c r="F332" t="s">
        <v>1346</v>
      </c>
      <c r="G332" t="s">
        <v>147</v>
      </c>
      <c r="H332" t="s">
        <v>107</v>
      </c>
      <c r="I332">
        <v>7</v>
      </c>
      <c r="J332">
        <v>165581</v>
      </c>
      <c r="K332">
        <v>35000</v>
      </c>
      <c r="L332" t="s">
        <v>137</v>
      </c>
      <c r="M332" t="s">
        <v>149</v>
      </c>
      <c r="N332" t="s">
        <v>139</v>
      </c>
    </row>
    <row r="333" spans="1:14" x14ac:dyDescent="0.25">
      <c r="A333" t="s">
        <v>742</v>
      </c>
      <c r="B333" t="s">
        <v>743</v>
      </c>
      <c r="C333" t="s">
        <v>164</v>
      </c>
      <c r="D333">
        <v>46081</v>
      </c>
      <c r="E333" t="s">
        <v>18</v>
      </c>
      <c r="F333" t="s">
        <v>143</v>
      </c>
      <c r="G333" t="s">
        <v>39</v>
      </c>
      <c r="H333" t="s">
        <v>35</v>
      </c>
      <c r="I333">
        <v>3</v>
      </c>
      <c r="J333">
        <v>1897001</v>
      </c>
      <c r="K333">
        <v>15000</v>
      </c>
      <c r="L333" t="s">
        <v>37</v>
      </c>
      <c r="M333" t="s">
        <v>149</v>
      </c>
      <c r="N333" t="s">
        <v>156</v>
      </c>
    </row>
    <row r="334" spans="1:14" x14ac:dyDescent="0.25">
      <c r="A334" t="s">
        <v>744</v>
      </c>
      <c r="B334" t="s">
        <v>580</v>
      </c>
      <c r="C334" t="s">
        <v>33</v>
      </c>
      <c r="E334" t="s">
        <v>34</v>
      </c>
      <c r="F334" t="s">
        <v>28</v>
      </c>
      <c r="G334" t="s">
        <v>39</v>
      </c>
      <c r="H334" t="s">
        <v>29</v>
      </c>
      <c r="I334">
        <v>5</v>
      </c>
      <c r="K334">
        <v>50000</v>
      </c>
      <c r="L334" t="s">
        <v>148</v>
      </c>
      <c r="M334" t="s">
        <v>165</v>
      </c>
      <c r="N334" t="s">
        <v>156</v>
      </c>
    </row>
    <row r="335" spans="1:14" x14ac:dyDescent="0.25">
      <c r="A335" t="s">
        <v>745</v>
      </c>
      <c r="B335" t="s">
        <v>746</v>
      </c>
      <c r="C335" t="s">
        <v>192</v>
      </c>
      <c r="D335">
        <v>46118</v>
      </c>
      <c r="E335" t="s">
        <v>27</v>
      </c>
      <c r="F335" t="s">
        <v>1346</v>
      </c>
      <c r="G335" t="s">
        <v>173</v>
      </c>
      <c r="H335" t="s">
        <v>29</v>
      </c>
      <c r="I335">
        <v>3</v>
      </c>
      <c r="J335">
        <v>1899315</v>
      </c>
      <c r="K335">
        <v>15000</v>
      </c>
      <c r="L335" t="s">
        <v>137</v>
      </c>
      <c r="M335" t="s">
        <v>161</v>
      </c>
      <c r="N335" t="s">
        <v>139</v>
      </c>
    </row>
    <row r="336" spans="1:14" x14ac:dyDescent="0.25">
      <c r="A336" t="s">
        <v>747</v>
      </c>
      <c r="B336" t="s">
        <v>626</v>
      </c>
      <c r="C336" t="s">
        <v>135</v>
      </c>
      <c r="D336">
        <v>46161</v>
      </c>
      <c r="E336" t="s">
        <v>34</v>
      </c>
      <c r="F336" t="s">
        <v>143</v>
      </c>
      <c r="G336" t="s">
        <v>147</v>
      </c>
      <c r="H336" t="s">
        <v>29</v>
      </c>
      <c r="I336">
        <v>2</v>
      </c>
      <c r="J336">
        <v>566544</v>
      </c>
      <c r="K336">
        <v>0</v>
      </c>
      <c r="L336" t="s">
        <v>137</v>
      </c>
      <c r="M336" t="s">
        <v>138</v>
      </c>
      <c r="N336" t="s">
        <v>156</v>
      </c>
    </row>
    <row r="337" spans="1:14" x14ac:dyDescent="0.25">
      <c r="A337" t="s">
        <v>748</v>
      </c>
      <c r="B337" t="s">
        <v>535</v>
      </c>
      <c r="C337" t="s">
        <v>192</v>
      </c>
      <c r="D337">
        <v>46091</v>
      </c>
      <c r="E337" t="s">
        <v>31</v>
      </c>
      <c r="F337" t="s">
        <v>160</v>
      </c>
      <c r="G337" t="s">
        <v>173</v>
      </c>
      <c r="H337" t="s">
        <v>25</v>
      </c>
      <c r="I337">
        <v>5</v>
      </c>
      <c r="J337">
        <v>476680</v>
      </c>
      <c r="K337">
        <v>50000</v>
      </c>
      <c r="L337" t="s">
        <v>137</v>
      </c>
      <c r="M337" t="s">
        <v>149</v>
      </c>
      <c r="N337" t="s">
        <v>156</v>
      </c>
    </row>
    <row r="338" spans="1:14" x14ac:dyDescent="0.25">
      <c r="A338" t="s">
        <v>749</v>
      </c>
      <c r="B338" t="s">
        <v>296</v>
      </c>
      <c r="C338" t="s">
        <v>297</v>
      </c>
      <c r="D338">
        <v>46025</v>
      </c>
      <c r="E338" t="s">
        <v>31</v>
      </c>
      <c r="F338" t="s">
        <v>1346</v>
      </c>
      <c r="G338" t="s">
        <v>1378</v>
      </c>
      <c r="H338" t="s">
        <v>20</v>
      </c>
      <c r="I338">
        <v>4</v>
      </c>
      <c r="J338">
        <v>1615894</v>
      </c>
      <c r="K338">
        <v>25000</v>
      </c>
      <c r="L338" t="s">
        <v>137</v>
      </c>
      <c r="M338" t="s">
        <v>161</v>
      </c>
      <c r="N338" t="s">
        <v>139</v>
      </c>
    </row>
    <row r="339" spans="1:14" x14ac:dyDescent="0.25">
      <c r="A339" t="s">
        <v>750</v>
      </c>
      <c r="B339" t="s">
        <v>599</v>
      </c>
      <c r="C339" t="s">
        <v>22</v>
      </c>
      <c r="D339">
        <v>46151</v>
      </c>
      <c r="E339" t="s">
        <v>31</v>
      </c>
      <c r="F339" t="s">
        <v>28</v>
      </c>
      <c r="G339" t="s">
        <v>147</v>
      </c>
      <c r="H339" t="s">
        <v>20</v>
      </c>
      <c r="I339">
        <v>7</v>
      </c>
      <c r="J339">
        <v>543636</v>
      </c>
      <c r="K339">
        <v>50000</v>
      </c>
      <c r="L339" t="s">
        <v>137</v>
      </c>
      <c r="M339" t="s">
        <v>161</v>
      </c>
      <c r="N339" t="s">
        <v>139</v>
      </c>
    </row>
    <row r="340" spans="1:14" x14ac:dyDescent="0.25">
      <c r="A340" t="s">
        <v>751</v>
      </c>
      <c r="B340" t="s">
        <v>626</v>
      </c>
      <c r="C340" t="s">
        <v>135</v>
      </c>
      <c r="D340">
        <v>46061</v>
      </c>
      <c r="E340" t="s">
        <v>18</v>
      </c>
      <c r="F340" t="s">
        <v>143</v>
      </c>
      <c r="G340" t="s">
        <v>169</v>
      </c>
      <c r="H340" t="s">
        <v>29</v>
      </c>
      <c r="I340">
        <v>6</v>
      </c>
      <c r="J340">
        <v>2062408</v>
      </c>
      <c r="K340">
        <v>0</v>
      </c>
      <c r="L340" t="s">
        <v>137</v>
      </c>
      <c r="M340" t="s">
        <v>138</v>
      </c>
      <c r="N340" t="s">
        <v>139</v>
      </c>
    </row>
    <row r="341" spans="1:14" x14ac:dyDescent="0.25">
      <c r="A341" t="s">
        <v>752</v>
      </c>
      <c r="B341" t="s">
        <v>204</v>
      </c>
      <c r="C341" t="s">
        <v>205</v>
      </c>
      <c r="D341">
        <v>46056</v>
      </c>
      <c r="E341" t="s">
        <v>23</v>
      </c>
      <c r="F341" t="s">
        <v>28</v>
      </c>
      <c r="G341" t="s">
        <v>177</v>
      </c>
      <c r="H341" t="s">
        <v>29</v>
      </c>
      <c r="I341">
        <v>3</v>
      </c>
      <c r="J341">
        <v>1541955</v>
      </c>
      <c r="K341">
        <v>25000</v>
      </c>
      <c r="L341" t="s">
        <v>137</v>
      </c>
      <c r="M341" t="s">
        <v>149</v>
      </c>
      <c r="N341" t="s">
        <v>156</v>
      </c>
    </row>
    <row r="342" spans="1:14" x14ac:dyDescent="0.25">
      <c r="A342" t="s">
        <v>753</v>
      </c>
      <c r="B342" t="s">
        <v>681</v>
      </c>
      <c r="C342" t="s">
        <v>317</v>
      </c>
      <c r="D342">
        <v>46168</v>
      </c>
      <c r="E342" t="s">
        <v>34</v>
      </c>
      <c r="F342" t="s">
        <v>1352</v>
      </c>
      <c r="G342" t="s">
        <v>39</v>
      </c>
      <c r="H342" t="s">
        <v>20</v>
      </c>
      <c r="I342">
        <v>7</v>
      </c>
      <c r="J342">
        <v>2206761</v>
      </c>
      <c r="K342">
        <v>0</v>
      </c>
      <c r="L342" t="s">
        <v>137</v>
      </c>
      <c r="M342" t="s">
        <v>138</v>
      </c>
      <c r="N342" t="s">
        <v>139</v>
      </c>
    </row>
    <row r="343" spans="1:14" x14ac:dyDescent="0.25">
      <c r="A343" t="s">
        <v>754</v>
      </c>
      <c r="B343" t="s">
        <v>333</v>
      </c>
      <c r="C343" t="s">
        <v>334</v>
      </c>
      <c r="D343">
        <v>46066</v>
      </c>
      <c r="E343" t="s">
        <v>23</v>
      </c>
      <c r="F343" t="s">
        <v>160</v>
      </c>
      <c r="G343" t="s">
        <v>177</v>
      </c>
      <c r="H343" t="s">
        <v>32</v>
      </c>
      <c r="I343">
        <v>1</v>
      </c>
      <c r="J343">
        <v>1359870</v>
      </c>
      <c r="K343">
        <v>15000</v>
      </c>
      <c r="L343" t="s">
        <v>137</v>
      </c>
      <c r="M343" t="s">
        <v>138</v>
      </c>
      <c r="N343" t="s">
        <v>139</v>
      </c>
    </row>
    <row r="344" spans="1:14" x14ac:dyDescent="0.25">
      <c r="A344" t="s">
        <v>755</v>
      </c>
      <c r="B344" t="s">
        <v>188</v>
      </c>
      <c r="C344" t="s">
        <v>189</v>
      </c>
      <c r="D344">
        <v>46088</v>
      </c>
      <c r="E344" t="s">
        <v>34</v>
      </c>
      <c r="F344" t="s">
        <v>28</v>
      </c>
      <c r="G344" t="s">
        <v>39</v>
      </c>
      <c r="H344" t="s">
        <v>35</v>
      </c>
      <c r="I344">
        <v>1</v>
      </c>
      <c r="J344">
        <v>1974072</v>
      </c>
      <c r="K344">
        <v>15000</v>
      </c>
      <c r="L344" t="s">
        <v>37</v>
      </c>
      <c r="M344" t="s">
        <v>165</v>
      </c>
      <c r="N344" t="s">
        <v>156</v>
      </c>
    </row>
    <row r="345" spans="1:14" x14ac:dyDescent="0.25">
      <c r="A345" t="s">
        <v>756</v>
      </c>
      <c r="B345" t="s">
        <v>683</v>
      </c>
      <c r="C345" t="s">
        <v>684</v>
      </c>
      <c r="D345">
        <v>46116</v>
      </c>
      <c r="E345" t="s">
        <v>27</v>
      </c>
      <c r="F345" t="s">
        <v>28</v>
      </c>
      <c r="G345" t="s">
        <v>136</v>
      </c>
      <c r="H345" t="s">
        <v>20</v>
      </c>
      <c r="I345">
        <v>3</v>
      </c>
      <c r="J345">
        <v>2269493</v>
      </c>
      <c r="K345">
        <v>50000</v>
      </c>
      <c r="L345" t="s">
        <v>137</v>
      </c>
      <c r="M345" t="s">
        <v>138</v>
      </c>
      <c r="N345" t="s">
        <v>156</v>
      </c>
    </row>
    <row r="346" spans="1:14" x14ac:dyDescent="0.25">
      <c r="A346" t="s">
        <v>757</v>
      </c>
      <c r="B346" t="s">
        <v>758</v>
      </c>
      <c r="C346" t="s">
        <v>759</v>
      </c>
      <c r="D346">
        <v>46085</v>
      </c>
      <c r="E346" t="s">
        <v>31</v>
      </c>
      <c r="F346" t="s">
        <v>160</v>
      </c>
      <c r="G346" t="s">
        <v>177</v>
      </c>
      <c r="H346" t="s">
        <v>32</v>
      </c>
      <c r="I346">
        <v>2</v>
      </c>
      <c r="J346">
        <v>2472167</v>
      </c>
      <c r="K346">
        <v>0</v>
      </c>
      <c r="L346" t="s">
        <v>148</v>
      </c>
      <c r="M346" t="s">
        <v>138</v>
      </c>
      <c r="N346" t="s">
        <v>139</v>
      </c>
    </row>
    <row r="347" spans="1:14" x14ac:dyDescent="0.25">
      <c r="A347" t="s">
        <v>760</v>
      </c>
      <c r="B347" t="s">
        <v>761</v>
      </c>
      <c r="C347" t="s">
        <v>762</v>
      </c>
      <c r="D347">
        <v>46046</v>
      </c>
      <c r="E347" t="s">
        <v>31</v>
      </c>
      <c r="F347" t="s">
        <v>160</v>
      </c>
      <c r="G347" t="s">
        <v>173</v>
      </c>
      <c r="H347" t="s">
        <v>29</v>
      </c>
      <c r="I347">
        <v>4</v>
      </c>
      <c r="J347">
        <v>1583551</v>
      </c>
      <c r="K347">
        <v>35000</v>
      </c>
      <c r="L347" t="s">
        <v>137</v>
      </c>
      <c r="M347" t="s">
        <v>249</v>
      </c>
      <c r="N347" t="s">
        <v>156</v>
      </c>
    </row>
    <row r="348" spans="1:14" x14ac:dyDescent="0.25">
      <c r="A348" t="s">
        <v>763</v>
      </c>
      <c r="B348" t="s">
        <v>725</v>
      </c>
      <c r="C348" t="s">
        <v>726</v>
      </c>
      <c r="D348">
        <v>46124</v>
      </c>
      <c r="E348" t="s">
        <v>27</v>
      </c>
      <c r="F348" t="s">
        <v>28</v>
      </c>
      <c r="G348" t="s">
        <v>177</v>
      </c>
      <c r="H348" t="s">
        <v>32</v>
      </c>
      <c r="I348">
        <v>4</v>
      </c>
      <c r="J348">
        <v>1936613</v>
      </c>
      <c r="K348">
        <v>15000</v>
      </c>
      <c r="L348" t="s">
        <v>137</v>
      </c>
      <c r="M348" t="s">
        <v>161</v>
      </c>
      <c r="N348" t="s">
        <v>156</v>
      </c>
    </row>
    <row r="349" spans="1:14" x14ac:dyDescent="0.25">
      <c r="A349" t="s">
        <v>764</v>
      </c>
      <c r="B349" t="s">
        <v>151</v>
      </c>
      <c r="C349" t="s">
        <v>152</v>
      </c>
      <c r="D349">
        <v>46139</v>
      </c>
      <c r="E349" t="s">
        <v>18</v>
      </c>
      <c r="F349" t="s">
        <v>1346</v>
      </c>
      <c r="G349" t="s">
        <v>147</v>
      </c>
      <c r="H349" t="s">
        <v>20</v>
      </c>
      <c r="I349">
        <v>2</v>
      </c>
      <c r="J349">
        <v>280567</v>
      </c>
      <c r="K349">
        <v>50000</v>
      </c>
      <c r="L349" t="s">
        <v>43</v>
      </c>
      <c r="M349" t="s">
        <v>161</v>
      </c>
      <c r="N349" t="s">
        <v>139</v>
      </c>
    </row>
    <row r="350" spans="1:14" x14ac:dyDescent="0.25">
      <c r="A350" t="s">
        <v>765</v>
      </c>
      <c r="B350" t="s">
        <v>489</v>
      </c>
      <c r="C350" t="s">
        <v>1379</v>
      </c>
      <c r="D350">
        <v>46115</v>
      </c>
      <c r="E350" t="s">
        <v>31</v>
      </c>
      <c r="F350" t="s">
        <v>1346</v>
      </c>
      <c r="G350" t="s">
        <v>136</v>
      </c>
      <c r="H350" t="s">
        <v>29</v>
      </c>
      <c r="I350">
        <v>2</v>
      </c>
      <c r="J350">
        <v>1924010</v>
      </c>
      <c r="K350">
        <v>35000</v>
      </c>
      <c r="L350" t="s">
        <v>137</v>
      </c>
      <c r="M350" t="s">
        <v>165</v>
      </c>
      <c r="N350" t="s">
        <v>156</v>
      </c>
    </row>
    <row r="351" spans="1:14" x14ac:dyDescent="0.25">
      <c r="A351" t="s">
        <v>766</v>
      </c>
      <c r="B351" t="s">
        <v>225</v>
      </c>
      <c r="C351" t="s">
        <v>226</v>
      </c>
      <c r="D351">
        <v>46040</v>
      </c>
      <c r="E351" t="s">
        <v>31</v>
      </c>
      <c r="F351" t="s">
        <v>143</v>
      </c>
      <c r="G351" t="s">
        <v>169</v>
      </c>
      <c r="H351" t="s">
        <v>25</v>
      </c>
      <c r="I351">
        <v>1</v>
      </c>
      <c r="J351">
        <v>1268842</v>
      </c>
      <c r="K351">
        <v>35000</v>
      </c>
      <c r="L351" t="s">
        <v>137</v>
      </c>
      <c r="M351" t="s">
        <v>138</v>
      </c>
      <c r="N351" t="s">
        <v>156</v>
      </c>
    </row>
    <row r="352" spans="1:14" x14ac:dyDescent="0.25">
      <c r="A352" t="s">
        <v>767</v>
      </c>
      <c r="B352" t="s">
        <v>477</v>
      </c>
      <c r="C352" t="s">
        <v>231</v>
      </c>
      <c r="D352">
        <v>46036</v>
      </c>
      <c r="E352" t="s">
        <v>31</v>
      </c>
      <c r="F352" t="s">
        <v>28</v>
      </c>
      <c r="G352" t="s">
        <v>39</v>
      </c>
      <c r="H352" t="s">
        <v>35</v>
      </c>
      <c r="I352">
        <v>3</v>
      </c>
      <c r="J352">
        <v>507726</v>
      </c>
      <c r="K352">
        <v>35000</v>
      </c>
      <c r="L352" t="s">
        <v>93</v>
      </c>
      <c r="M352" t="s">
        <v>138</v>
      </c>
      <c r="N352" t="s">
        <v>156</v>
      </c>
    </row>
    <row r="353" spans="1:14" x14ac:dyDescent="0.25">
      <c r="A353" t="s">
        <v>768</v>
      </c>
      <c r="B353" t="s">
        <v>601</v>
      </c>
      <c r="C353" t="s">
        <v>176</v>
      </c>
      <c r="D353">
        <v>46134</v>
      </c>
      <c r="E353" t="s">
        <v>18</v>
      </c>
      <c r="F353" t="s">
        <v>160</v>
      </c>
      <c r="G353" t="s">
        <v>169</v>
      </c>
      <c r="H353" t="s">
        <v>35</v>
      </c>
      <c r="I353">
        <v>4</v>
      </c>
      <c r="J353">
        <v>1607687</v>
      </c>
      <c r="K353">
        <v>50000</v>
      </c>
      <c r="L353" t="s">
        <v>148</v>
      </c>
      <c r="M353" t="s">
        <v>149</v>
      </c>
      <c r="N353" t="s">
        <v>156</v>
      </c>
    </row>
    <row r="354" spans="1:14" x14ac:dyDescent="0.25">
      <c r="A354" t="s">
        <v>769</v>
      </c>
      <c r="B354" t="s">
        <v>770</v>
      </c>
      <c r="C354" t="s">
        <v>246</v>
      </c>
      <c r="D354">
        <v>46193</v>
      </c>
      <c r="E354" t="s">
        <v>34</v>
      </c>
      <c r="F354" t="s">
        <v>160</v>
      </c>
      <c r="G354" t="s">
        <v>169</v>
      </c>
      <c r="H354" t="s">
        <v>90</v>
      </c>
      <c r="I354">
        <v>2</v>
      </c>
      <c r="J354">
        <v>1447561</v>
      </c>
      <c r="K354">
        <v>0</v>
      </c>
      <c r="L354" t="s">
        <v>148</v>
      </c>
      <c r="M354" t="s">
        <v>165</v>
      </c>
      <c r="N354" t="s">
        <v>139</v>
      </c>
    </row>
    <row r="355" spans="1:14" x14ac:dyDescent="0.25">
      <c r="A355" t="s">
        <v>771</v>
      </c>
      <c r="B355" t="s">
        <v>336</v>
      </c>
      <c r="C355" t="s">
        <v>337</v>
      </c>
      <c r="D355">
        <v>46023</v>
      </c>
      <c r="E355" t="s">
        <v>23</v>
      </c>
      <c r="F355" t="s">
        <v>160</v>
      </c>
      <c r="G355" t="s">
        <v>177</v>
      </c>
      <c r="H355" t="s">
        <v>29</v>
      </c>
      <c r="I355">
        <v>6</v>
      </c>
      <c r="J355">
        <v>2009781</v>
      </c>
      <c r="K355">
        <v>15000</v>
      </c>
      <c r="L355" t="s">
        <v>137</v>
      </c>
      <c r="M355" t="s">
        <v>149</v>
      </c>
      <c r="N355" t="s">
        <v>139</v>
      </c>
    </row>
    <row r="356" spans="1:14" x14ac:dyDescent="0.25">
      <c r="A356" t="s">
        <v>772</v>
      </c>
      <c r="B356" t="s">
        <v>601</v>
      </c>
      <c r="C356" t="s">
        <v>176</v>
      </c>
      <c r="D356" t="s">
        <v>1380</v>
      </c>
      <c r="E356" t="s">
        <v>18</v>
      </c>
      <c r="F356" t="s">
        <v>160</v>
      </c>
      <c r="G356" t="s">
        <v>136</v>
      </c>
      <c r="H356" t="s">
        <v>25</v>
      </c>
      <c r="I356">
        <v>4</v>
      </c>
      <c r="J356">
        <v>816678</v>
      </c>
      <c r="K356">
        <v>50000</v>
      </c>
      <c r="L356" t="s">
        <v>137</v>
      </c>
      <c r="M356" t="s">
        <v>161</v>
      </c>
      <c r="N356" t="s">
        <v>156</v>
      </c>
    </row>
    <row r="357" spans="1:14" x14ac:dyDescent="0.25">
      <c r="A357" t="s">
        <v>773</v>
      </c>
      <c r="B357" t="s">
        <v>370</v>
      </c>
      <c r="C357" t="s">
        <v>180</v>
      </c>
      <c r="D357">
        <v>46101</v>
      </c>
      <c r="E357" t="s">
        <v>31</v>
      </c>
      <c r="F357" t="s">
        <v>28</v>
      </c>
      <c r="G357" t="s">
        <v>136</v>
      </c>
      <c r="H357" t="s">
        <v>25</v>
      </c>
      <c r="I357">
        <v>6</v>
      </c>
      <c r="J357">
        <v>2225897</v>
      </c>
      <c r="K357">
        <v>0</v>
      </c>
      <c r="L357" t="s">
        <v>137</v>
      </c>
      <c r="M357" t="s">
        <v>149</v>
      </c>
      <c r="N357" t="s">
        <v>139</v>
      </c>
    </row>
    <row r="358" spans="1:14" x14ac:dyDescent="0.25">
      <c r="A358" t="s">
        <v>774</v>
      </c>
      <c r="B358" t="s">
        <v>336</v>
      </c>
      <c r="C358" t="s">
        <v>337</v>
      </c>
      <c r="D358">
        <v>46108</v>
      </c>
      <c r="E358" t="s">
        <v>27</v>
      </c>
      <c r="F358" t="s">
        <v>143</v>
      </c>
      <c r="G358" t="s">
        <v>147</v>
      </c>
      <c r="H358" t="s">
        <v>32</v>
      </c>
      <c r="I358">
        <v>4</v>
      </c>
      <c r="J358">
        <v>595550</v>
      </c>
      <c r="K358">
        <v>15000</v>
      </c>
      <c r="L358" t="s">
        <v>137</v>
      </c>
      <c r="N358" t="s">
        <v>139</v>
      </c>
    </row>
    <row r="359" spans="1:14" x14ac:dyDescent="0.25">
      <c r="A359" t="s">
        <v>775</v>
      </c>
      <c r="B359" t="s">
        <v>374</v>
      </c>
      <c r="C359" t="s">
        <v>202</v>
      </c>
      <c r="D359">
        <v>46191</v>
      </c>
      <c r="E359" t="s">
        <v>23</v>
      </c>
      <c r="F359" t="s">
        <v>160</v>
      </c>
      <c r="G359" t="s">
        <v>173</v>
      </c>
      <c r="H359" t="s">
        <v>20</v>
      </c>
      <c r="I359">
        <v>6</v>
      </c>
      <c r="J359">
        <v>1954981</v>
      </c>
      <c r="K359">
        <v>25000</v>
      </c>
      <c r="L359" t="s">
        <v>137</v>
      </c>
      <c r="M359" t="s">
        <v>165</v>
      </c>
      <c r="N359" t="s">
        <v>156</v>
      </c>
    </row>
    <row r="360" spans="1:14" x14ac:dyDescent="0.25">
      <c r="A360" t="s">
        <v>776</v>
      </c>
      <c r="B360" t="s">
        <v>777</v>
      </c>
      <c r="C360" t="s">
        <v>246</v>
      </c>
      <c r="D360">
        <v>46128</v>
      </c>
      <c r="E360" t="s">
        <v>23</v>
      </c>
      <c r="F360" t="s">
        <v>28</v>
      </c>
      <c r="G360" t="s">
        <v>1360</v>
      </c>
      <c r="H360" t="s">
        <v>35</v>
      </c>
      <c r="I360">
        <v>6</v>
      </c>
      <c r="J360">
        <v>554845</v>
      </c>
      <c r="K360">
        <v>35000</v>
      </c>
      <c r="L360" t="s">
        <v>137</v>
      </c>
      <c r="M360" t="s">
        <v>165</v>
      </c>
      <c r="N360" t="s">
        <v>156</v>
      </c>
    </row>
    <row r="361" spans="1:14" x14ac:dyDescent="0.25">
      <c r="A361" t="s">
        <v>778</v>
      </c>
      <c r="B361" t="s">
        <v>459</v>
      </c>
      <c r="C361" t="s">
        <v>317</v>
      </c>
      <c r="D361">
        <v>46097</v>
      </c>
      <c r="E361" t="s">
        <v>23</v>
      </c>
      <c r="F361" t="s">
        <v>143</v>
      </c>
      <c r="G361" t="s">
        <v>39</v>
      </c>
      <c r="H361" t="s">
        <v>20</v>
      </c>
      <c r="I361">
        <v>2</v>
      </c>
      <c r="J361">
        <v>1884295</v>
      </c>
      <c r="K361">
        <v>15000</v>
      </c>
      <c r="L361" t="s">
        <v>137</v>
      </c>
      <c r="M361" t="s">
        <v>138</v>
      </c>
      <c r="N361" t="s">
        <v>139</v>
      </c>
    </row>
    <row r="362" spans="1:14" x14ac:dyDescent="0.25">
      <c r="A362" t="s">
        <v>779</v>
      </c>
      <c r="B362" t="s">
        <v>519</v>
      </c>
      <c r="C362" t="s">
        <v>240</v>
      </c>
      <c r="D362">
        <v>46141</v>
      </c>
      <c r="E362" t="s">
        <v>27</v>
      </c>
      <c r="F362" t="s">
        <v>1346</v>
      </c>
      <c r="G362" t="s">
        <v>136</v>
      </c>
      <c r="H362" t="s">
        <v>25</v>
      </c>
      <c r="I362">
        <v>1</v>
      </c>
      <c r="J362">
        <v>1851973</v>
      </c>
      <c r="K362">
        <v>35000</v>
      </c>
      <c r="L362" t="s">
        <v>43</v>
      </c>
      <c r="M362" t="s">
        <v>165</v>
      </c>
      <c r="N362" t="s">
        <v>139</v>
      </c>
    </row>
    <row r="363" spans="1:14" x14ac:dyDescent="0.25">
      <c r="A363" t="s">
        <v>780</v>
      </c>
      <c r="B363" t="s">
        <v>385</v>
      </c>
      <c r="C363" t="s">
        <v>176</v>
      </c>
      <c r="D363">
        <v>46129</v>
      </c>
      <c r="E363" t="s">
        <v>34</v>
      </c>
      <c r="F363" t="s">
        <v>1346</v>
      </c>
      <c r="G363" t="s">
        <v>136</v>
      </c>
      <c r="H363" t="s">
        <v>29</v>
      </c>
      <c r="I363">
        <v>4</v>
      </c>
      <c r="J363">
        <v>1133152</v>
      </c>
      <c r="K363">
        <v>0</v>
      </c>
      <c r="L363" t="s">
        <v>137</v>
      </c>
      <c r="M363" t="s">
        <v>161</v>
      </c>
      <c r="N363" t="s">
        <v>139</v>
      </c>
    </row>
    <row r="364" spans="1:14" x14ac:dyDescent="0.25">
      <c r="A364" t="s">
        <v>781</v>
      </c>
      <c r="B364" t="s">
        <v>535</v>
      </c>
      <c r="C364" t="s">
        <v>192</v>
      </c>
      <c r="D364">
        <v>46165</v>
      </c>
      <c r="E364" t="s">
        <v>27</v>
      </c>
      <c r="F364" t="s">
        <v>103</v>
      </c>
      <c r="G364" t="s">
        <v>177</v>
      </c>
      <c r="H364" t="s">
        <v>32</v>
      </c>
      <c r="I364">
        <v>5</v>
      </c>
      <c r="J364">
        <v>1761492</v>
      </c>
      <c r="K364">
        <v>15000</v>
      </c>
      <c r="L364" t="s">
        <v>137</v>
      </c>
      <c r="M364" t="s">
        <v>165</v>
      </c>
      <c r="N364" t="s">
        <v>156</v>
      </c>
    </row>
    <row r="365" spans="1:14" x14ac:dyDescent="0.25">
      <c r="A365" t="s">
        <v>782</v>
      </c>
      <c r="B365" t="s">
        <v>783</v>
      </c>
      <c r="C365" t="s">
        <v>210</v>
      </c>
      <c r="D365">
        <v>46104</v>
      </c>
      <c r="E365" t="s">
        <v>18</v>
      </c>
      <c r="F365" t="s">
        <v>160</v>
      </c>
      <c r="G365" t="s">
        <v>169</v>
      </c>
      <c r="H365" t="s">
        <v>35</v>
      </c>
      <c r="I365">
        <v>4</v>
      </c>
      <c r="J365">
        <v>2289617</v>
      </c>
      <c r="K365">
        <v>15000</v>
      </c>
      <c r="L365" t="s">
        <v>137</v>
      </c>
      <c r="M365" t="s">
        <v>138</v>
      </c>
      <c r="N365" t="s">
        <v>139</v>
      </c>
    </row>
    <row r="366" spans="1:14" x14ac:dyDescent="0.25">
      <c r="A366" t="s">
        <v>784</v>
      </c>
      <c r="B366" t="s">
        <v>455</v>
      </c>
      <c r="C366" t="s">
        <v>456</v>
      </c>
      <c r="D366">
        <v>46183</v>
      </c>
      <c r="E366" t="s">
        <v>23</v>
      </c>
      <c r="F366" t="s">
        <v>160</v>
      </c>
      <c r="G366" t="s">
        <v>39</v>
      </c>
      <c r="H366" t="s">
        <v>20</v>
      </c>
      <c r="I366">
        <v>2</v>
      </c>
      <c r="J366">
        <v>1211484</v>
      </c>
      <c r="K366">
        <v>50000</v>
      </c>
      <c r="L366" t="s">
        <v>43</v>
      </c>
      <c r="M366" t="s">
        <v>161</v>
      </c>
      <c r="N366" t="s">
        <v>156</v>
      </c>
    </row>
    <row r="367" spans="1:14" x14ac:dyDescent="0.25">
      <c r="A367" t="s">
        <v>785</v>
      </c>
      <c r="B367" t="s">
        <v>365</v>
      </c>
      <c r="C367" t="s">
        <v>240</v>
      </c>
      <c r="D367">
        <v>46181</v>
      </c>
      <c r="E367" t="s">
        <v>18</v>
      </c>
      <c r="F367" t="s">
        <v>28</v>
      </c>
      <c r="G367" t="s">
        <v>169</v>
      </c>
      <c r="H367" t="s">
        <v>25</v>
      </c>
      <c r="I367">
        <v>5</v>
      </c>
      <c r="J367">
        <v>2400327</v>
      </c>
      <c r="K367">
        <v>0</v>
      </c>
      <c r="L367" t="s">
        <v>137</v>
      </c>
      <c r="M367" t="s">
        <v>138</v>
      </c>
      <c r="N367" t="s">
        <v>156</v>
      </c>
    </row>
    <row r="368" spans="1:14" x14ac:dyDescent="0.25">
      <c r="A368" t="s">
        <v>786</v>
      </c>
      <c r="B368" t="s">
        <v>535</v>
      </c>
      <c r="C368" t="s">
        <v>192</v>
      </c>
      <c r="D368">
        <v>46190</v>
      </c>
      <c r="E368" t="s">
        <v>89</v>
      </c>
      <c r="F368" t="s">
        <v>1346</v>
      </c>
      <c r="G368" t="s">
        <v>169</v>
      </c>
      <c r="H368" t="s">
        <v>20</v>
      </c>
      <c r="I368">
        <v>2</v>
      </c>
      <c r="J368" t="s">
        <v>787</v>
      </c>
      <c r="K368">
        <v>25000</v>
      </c>
      <c r="L368" t="s">
        <v>137</v>
      </c>
      <c r="M368" t="s">
        <v>199</v>
      </c>
      <c r="N368" t="s">
        <v>139</v>
      </c>
    </row>
    <row r="369" spans="1:14" x14ac:dyDescent="0.25">
      <c r="A369" t="s">
        <v>788</v>
      </c>
      <c r="B369" t="s">
        <v>443</v>
      </c>
      <c r="C369" t="s">
        <v>246</v>
      </c>
      <c r="D369">
        <v>46059</v>
      </c>
      <c r="E369" t="s">
        <v>27</v>
      </c>
      <c r="F369" t="s">
        <v>160</v>
      </c>
      <c r="G369" t="s">
        <v>173</v>
      </c>
      <c r="H369" t="s">
        <v>29</v>
      </c>
      <c r="I369">
        <v>7</v>
      </c>
      <c r="J369">
        <v>217059</v>
      </c>
      <c r="K369">
        <v>50000</v>
      </c>
      <c r="L369" t="s">
        <v>137</v>
      </c>
      <c r="M369" t="s">
        <v>138</v>
      </c>
      <c r="N369" t="s">
        <v>139</v>
      </c>
    </row>
    <row r="370" spans="1:14" x14ac:dyDescent="0.25">
      <c r="A370" t="s">
        <v>789</v>
      </c>
      <c r="B370" t="s">
        <v>233</v>
      </c>
      <c r="C370" t="s">
        <v>36</v>
      </c>
      <c r="D370">
        <v>46069</v>
      </c>
      <c r="E370" t="s">
        <v>23</v>
      </c>
      <c r="F370" t="s">
        <v>28</v>
      </c>
      <c r="G370" t="s">
        <v>173</v>
      </c>
      <c r="H370" t="s">
        <v>32</v>
      </c>
      <c r="I370">
        <v>4</v>
      </c>
      <c r="J370">
        <v>509135</v>
      </c>
      <c r="K370">
        <v>0</v>
      </c>
      <c r="L370" t="s">
        <v>148</v>
      </c>
      <c r="M370" t="s">
        <v>138</v>
      </c>
      <c r="N370" t="s">
        <v>156</v>
      </c>
    </row>
    <row r="371" spans="1:14" x14ac:dyDescent="0.25">
      <c r="A371" t="s">
        <v>790</v>
      </c>
      <c r="B371" t="s">
        <v>791</v>
      </c>
      <c r="C371" t="s">
        <v>284</v>
      </c>
      <c r="D371">
        <v>46183</v>
      </c>
      <c r="E371" t="s">
        <v>31</v>
      </c>
      <c r="F371" t="s">
        <v>143</v>
      </c>
      <c r="G371" t="s">
        <v>177</v>
      </c>
      <c r="H371" t="s">
        <v>25</v>
      </c>
      <c r="I371">
        <v>6</v>
      </c>
      <c r="J371">
        <v>440078</v>
      </c>
      <c r="K371">
        <v>15000</v>
      </c>
      <c r="L371" t="s">
        <v>137</v>
      </c>
      <c r="M371" t="s">
        <v>165</v>
      </c>
      <c r="N371" t="s">
        <v>156</v>
      </c>
    </row>
    <row r="372" spans="1:14" x14ac:dyDescent="0.25">
      <c r="A372" t="s">
        <v>792</v>
      </c>
      <c r="B372" t="s">
        <v>793</v>
      </c>
      <c r="C372" t="s">
        <v>1381</v>
      </c>
      <c r="D372">
        <v>46068</v>
      </c>
      <c r="E372" t="s">
        <v>34</v>
      </c>
      <c r="F372" t="s">
        <v>28</v>
      </c>
      <c r="G372" t="s">
        <v>147</v>
      </c>
      <c r="H372" t="s">
        <v>35</v>
      </c>
      <c r="I372">
        <v>7</v>
      </c>
      <c r="J372">
        <v>2499402</v>
      </c>
      <c r="K372">
        <v>50000</v>
      </c>
      <c r="L372" t="s">
        <v>137</v>
      </c>
      <c r="M372" t="s">
        <v>149</v>
      </c>
      <c r="N372" t="s">
        <v>156</v>
      </c>
    </row>
    <row r="373" spans="1:14" x14ac:dyDescent="0.25">
      <c r="A373" t="s">
        <v>794</v>
      </c>
      <c r="B373" t="s">
        <v>795</v>
      </c>
      <c r="C373" t="s">
        <v>435</v>
      </c>
      <c r="D373">
        <v>46156</v>
      </c>
      <c r="E373" t="s">
        <v>27</v>
      </c>
      <c r="F373" t="s">
        <v>143</v>
      </c>
      <c r="G373" t="s">
        <v>177</v>
      </c>
      <c r="H373" t="s">
        <v>25</v>
      </c>
      <c r="I373">
        <v>2</v>
      </c>
      <c r="J373">
        <v>1187454</v>
      </c>
      <c r="K373">
        <v>0</v>
      </c>
      <c r="L373" t="s">
        <v>214</v>
      </c>
      <c r="M373" t="s">
        <v>138</v>
      </c>
      <c r="N373" t="s">
        <v>156</v>
      </c>
    </row>
    <row r="374" spans="1:14" x14ac:dyDescent="0.25">
      <c r="A374" t="s">
        <v>796</v>
      </c>
      <c r="B374" t="s">
        <v>797</v>
      </c>
      <c r="C374" t="s">
        <v>240</v>
      </c>
      <c r="D374">
        <v>46078</v>
      </c>
      <c r="E374" t="s">
        <v>87</v>
      </c>
      <c r="F374" t="s">
        <v>1346</v>
      </c>
      <c r="G374" t="s">
        <v>136</v>
      </c>
      <c r="H374" t="s">
        <v>32</v>
      </c>
      <c r="I374">
        <v>2</v>
      </c>
      <c r="J374">
        <v>243721</v>
      </c>
      <c r="K374">
        <v>25000</v>
      </c>
      <c r="L374" t="s">
        <v>137</v>
      </c>
      <c r="M374" t="s">
        <v>138</v>
      </c>
      <c r="N374" t="s">
        <v>156</v>
      </c>
    </row>
    <row r="375" spans="1:14" x14ac:dyDescent="0.25">
      <c r="A375" t="s">
        <v>798</v>
      </c>
      <c r="B375" t="s">
        <v>693</v>
      </c>
      <c r="C375" t="s">
        <v>164</v>
      </c>
      <c r="D375">
        <v>46112</v>
      </c>
      <c r="E375" t="s">
        <v>27</v>
      </c>
      <c r="F375" t="s">
        <v>28</v>
      </c>
      <c r="G375" t="s">
        <v>177</v>
      </c>
      <c r="H375" t="s">
        <v>95</v>
      </c>
      <c r="I375">
        <v>4</v>
      </c>
      <c r="J375">
        <v>2433146</v>
      </c>
      <c r="K375">
        <v>25000</v>
      </c>
      <c r="L375" t="s">
        <v>137</v>
      </c>
      <c r="M375" t="s">
        <v>138</v>
      </c>
      <c r="N375" t="s">
        <v>156</v>
      </c>
    </row>
    <row r="376" spans="1:14" x14ac:dyDescent="0.25">
      <c r="A376" t="s">
        <v>799</v>
      </c>
      <c r="B376" t="s">
        <v>800</v>
      </c>
      <c r="C376" t="s">
        <v>192</v>
      </c>
      <c r="D376">
        <v>46198</v>
      </c>
      <c r="E376" t="s">
        <v>34</v>
      </c>
      <c r="F376" t="s">
        <v>143</v>
      </c>
      <c r="G376" t="s">
        <v>177</v>
      </c>
      <c r="H376" t="s">
        <v>32</v>
      </c>
      <c r="I376">
        <v>1</v>
      </c>
      <c r="J376">
        <v>1298946</v>
      </c>
      <c r="K376">
        <v>35000</v>
      </c>
      <c r="L376" t="s">
        <v>137</v>
      </c>
      <c r="M376" t="s">
        <v>138</v>
      </c>
      <c r="N376" t="s">
        <v>139</v>
      </c>
    </row>
    <row r="377" spans="1:14" x14ac:dyDescent="0.25">
      <c r="A377" t="s">
        <v>801</v>
      </c>
      <c r="B377" t="s">
        <v>492</v>
      </c>
      <c r="C377" t="s">
        <v>146</v>
      </c>
      <c r="D377">
        <v>46137</v>
      </c>
      <c r="E377" t="s">
        <v>23</v>
      </c>
      <c r="F377" t="s">
        <v>28</v>
      </c>
      <c r="G377" t="s">
        <v>39</v>
      </c>
      <c r="H377" t="s">
        <v>29</v>
      </c>
      <c r="I377">
        <v>6</v>
      </c>
      <c r="J377">
        <v>1897283</v>
      </c>
      <c r="K377">
        <v>50000</v>
      </c>
      <c r="L377" t="s">
        <v>137</v>
      </c>
      <c r="M377" t="s">
        <v>161</v>
      </c>
      <c r="N377" t="s">
        <v>139</v>
      </c>
    </row>
    <row r="378" spans="1:14" x14ac:dyDescent="0.25">
      <c r="A378" t="s">
        <v>802</v>
      </c>
      <c r="B378" t="s">
        <v>237</v>
      </c>
      <c r="C378" t="s">
        <v>205</v>
      </c>
      <c r="D378" t="s">
        <v>1382</v>
      </c>
      <c r="E378" t="s">
        <v>31</v>
      </c>
      <c r="F378" t="s">
        <v>1346</v>
      </c>
      <c r="G378" t="s">
        <v>147</v>
      </c>
      <c r="H378" t="s">
        <v>35</v>
      </c>
      <c r="I378">
        <v>2</v>
      </c>
      <c r="J378">
        <v>389552</v>
      </c>
      <c r="K378">
        <v>35000</v>
      </c>
      <c r="L378" t="s">
        <v>148</v>
      </c>
      <c r="M378" t="s">
        <v>138</v>
      </c>
      <c r="N378" t="s">
        <v>139</v>
      </c>
    </row>
    <row r="379" spans="1:14" x14ac:dyDescent="0.25">
      <c r="A379" t="s">
        <v>803</v>
      </c>
      <c r="B379" t="s">
        <v>413</v>
      </c>
      <c r="C379" t="s">
        <v>210</v>
      </c>
      <c r="D379">
        <v>46030</v>
      </c>
      <c r="E379" t="s">
        <v>34</v>
      </c>
      <c r="F379" t="s">
        <v>143</v>
      </c>
      <c r="G379" t="s">
        <v>173</v>
      </c>
      <c r="H379" t="s">
        <v>29</v>
      </c>
      <c r="I379">
        <v>7</v>
      </c>
      <c r="J379">
        <v>600876</v>
      </c>
      <c r="K379">
        <v>15000</v>
      </c>
      <c r="L379" t="s">
        <v>137</v>
      </c>
      <c r="M379" t="s">
        <v>165</v>
      </c>
      <c r="N379" t="s">
        <v>139</v>
      </c>
    </row>
    <row r="380" spans="1:14" x14ac:dyDescent="0.25">
      <c r="A380" t="s">
        <v>804</v>
      </c>
      <c r="B380" t="s">
        <v>237</v>
      </c>
      <c r="C380" t="s">
        <v>205</v>
      </c>
      <c r="D380">
        <v>46060</v>
      </c>
      <c r="E380" t="s">
        <v>34</v>
      </c>
      <c r="F380" t="s">
        <v>143</v>
      </c>
      <c r="G380" t="s">
        <v>39</v>
      </c>
      <c r="H380" t="s">
        <v>35</v>
      </c>
      <c r="I380">
        <v>1</v>
      </c>
      <c r="J380">
        <v>1438911</v>
      </c>
      <c r="K380">
        <v>0</v>
      </c>
      <c r="L380" t="s">
        <v>137</v>
      </c>
      <c r="M380" t="s">
        <v>161</v>
      </c>
      <c r="N380" t="s">
        <v>139</v>
      </c>
    </row>
    <row r="381" spans="1:14" x14ac:dyDescent="0.25">
      <c r="A381" t="s">
        <v>805</v>
      </c>
      <c r="B381" t="s">
        <v>797</v>
      </c>
      <c r="C381" t="s">
        <v>240</v>
      </c>
      <c r="D381">
        <v>46082</v>
      </c>
      <c r="E381" t="s">
        <v>18</v>
      </c>
      <c r="F381" t="s">
        <v>160</v>
      </c>
      <c r="G381" t="s">
        <v>1359</v>
      </c>
      <c r="H381" t="s">
        <v>25</v>
      </c>
      <c r="I381">
        <v>4</v>
      </c>
      <c r="J381">
        <v>2475691</v>
      </c>
      <c r="K381">
        <v>0</v>
      </c>
      <c r="L381" t="s">
        <v>137</v>
      </c>
      <c r="M381" t="s">
        <v>161</v>
      </c>
      <c r="N381" t="s">
        <v>156</v>
      </c>
    </row>
    <row r="382" spans="1:14" x14ac:dyDescent="0.25">
      <c r="A382" t="s">
        <v>806</v>
      </c>
      <c r="B382" t="s">
        <v>705</v>
      </c>
      <c r="C382" t="s">
        <v>502</v>
      </c>
      <c r="D382">
        <v>46188</v>
      </c>
      <c r="E382" t="s">
        <v>31</v>
      </c>
      <c r="F382" t="s">
        <v>28</v>
      </c>
      <c r="G382" t="s">
        <v>173</v>
      </c>
      <c r="H382" t="s">
        <v>25</v>
      </c>
      <c r="I382">
        <v>3</v>
      </c>
      <c r="J382">
        <v>1888948</v>
      </c>
      <c r="K382">
        <v>35000</v>
      </c>
      <c r="L382" t="s">
        <v>148</v>
      </c>
      <c r="M382" t="s">
        <v>161</v>
      </c>
      <c r="N382" t="s">
        <v>139</v>
      </c>
    </row>
    <row r="383" spans="1:14" x14ac:dyDescent="0.25">
      <c r="A383" t="s">
        <v>807</v>
      </c>
      <c r="B383" t="s">
        <v>235</v>
      </c>
      <c r="C383" t="s">
        <v>142</v>
      </c>
      <c r="D383">
        <v>46054</v>
      </c>
      <c r="E383" t="s">
        <v>27</v>
      </c>
      <c r="F383" t="s">
        <v>160</v>
      </c>
      <c r="G383" t="s">
        <v>136</v>
      </c>
      <c r="H383" t="s">
        <v>20</v>
      </c>
      <c r="I383">
        <v>5</v>
      </c>
      <c r="J383">
        <v>2019118</v>
      </c>
      <c r="K383">
        <v>15000</v>
      </c>
      <c r="L383" t="s">
        <v>137</v>
      </c>
      <c r="M383" t="s">
        <v>138</v>
      </c>
      <c r="N383" t="s">
        <v>156</v>
      </c>
    </row>
    <row r="384" spans="1:14" x14ac:dyDescent="0.25">
      <c r="A384" t="s">
        <v>808</v>
      </c>
      <c r="B384" t="s">
        <v>670</v>
      </c>
      <c r="C384" t="s">
        <v>284</v>
      </c>
      <c r="D384">
        <v>46141</v>
      </c>
      <c r="E384" t="s">
        <v>27</v>
      </c>
      <c r="F384" t="s">
        <v>160</v>
      </c>
      <c r="G384" t="s">
        <v>136</v>
      </c>
      <c r="H384" t="s">
        <v>20</v>
      </c>
      <c r="I384">
        <v>7</v>
      </c>
      <c r="J384">
        <v>1312716</v>
      </c>
      <c r="K384">
        <v>15000</v>
      </c>
      <c r="L384" t="s">
        <v>37</v>
      </c>
      <c r="M384" t="s">
        <v>165</v>
      </c>
      <c r="N384" t="s">
        <v>156</v>
      </c>
    </row>
    <row r="385" spans="1:14" x14ac:dyDescent="0.25">
      <c r="A385" t="s">
        <v>809</v>
      </c>
      <c r="B385" t="s">
        <v>257</v>
      </c>
      <c r="C385" t="s">
        <v>258</v>
      </c>
      <c r="D385">
        <v>46047</v>
      </c>
      <c r="E385" t="s">
        <v>23</v>
      </c>
      <c r="F385" t="s">
        <v>1374</v>
      </c>
      <c r="G385" t="s">
        <v>39</v>
      </c>
      <c r="H385" t="s">
        <v>35</v>
      </c>
      <c r="I385">
        <v>3</v>
      </c>
      <c r="J385">
        <v>1860966</v>
      </c>
      <c r="K385">
        <v>25000</v>
      </c>
      <c r="L385" t="s">
        <v>137</v>
      </c>
      <c r="M385" t="s">
        <v>161</v>
      </c>
      <c r="N385" t="s">
        <v>156</v>
      </c>
    </row>
    <row r="386" spans="1:14" x14ac:dyDescent="0.25">
      <c r="A386" t="s">
        <v>810</v>
      </c>
      <c r="B386" t="s">
        <v>811</v>
      </c>
      <c r="C386" t="s">
        <v>17</v>
      </c>
      <c r="D386">
        <v>46099</v>
      </c>
      <c r="E386" t="s">
        <v>34</v>
      </c>
      <c r="F386" t="s">
        <v>160</v>
      </c>
      <c r="G386" t="s">
        <v>173</v>
      </c>
      <c r="H386" t="s">
        <v>29</v>
      </c>
      <c r="I386">
        <v>7</v>
      </c>
      <c r="J386">
        <v>2026654</v>
      </c>
      <c r="K386">
        <v>35000</v>
      </c>
      <c r="L386" t="s">
        <v>137</v>
      </c>
      <c r="M386" t="s">
        <v>165</v>
      </c>
      <c r="N386" t="s">
        <v>156</v>
      </c>
    </row>
    <row r="387" spans="1:14" x14ac:dyDescent="0.25">
      <c r="A387" t="s">
        <v>812</v>
      </c>
      <c r="B387" t="s">
        <v>813</v>
      </c>
      <c r="C387" t="s">
        <v>226</v>
      </c>
      <c r="D387">
        <v>46025</v>
      </c>
      <c r="E387" t="s">
        <v>23</v>
      </c>
      <c r="F387" t="s">
        <v>143</v>
      </c>
      <c r="G387" t="s">
        <v>169</v>
      </c>
      <c r="H387" t="s">
        <v>25</v>
      </c>
      <c r="I387">
        <v>3</v>
      </c>
      <c r="J387">
        <v>701894</v>
      </c>
      <c r="K387">
        <v>0</v>
      </c>
      <c r="L387" t="s">
        <v>148</v>
      </c>
      <c r="M387" t="s">
        <v>138</v>
      </c>
      <c r="N387" t="s">
        <v>156</v>
      </c>
    </row>
    <row r="388" spans="1:14" x14ac:dyDescent="0.25">
      <c r="A388" t="s">
        <v>814</v>
      </c>
      <c r="B388" t="s">
        <v>339</v>
      </c>
      <c r="C388" t="s">
        <v>340</v>
      </c>
      <c r="D388">
        <v>46199</v>
      </c>
      <c r="E388" t="s">
        <v>34</v>
      </c>
      <c r="F388" t="s">
        <v>160</v>
      </c>
      <c r="G388" t="s">
        <v>136</v>
      </c>
      <c r="H388" t="s">
        <v>25</v>
      </c>
      <c r="I388">
        <v>7</v>
      </c>
      <c r="J388">
        <v>340163</v>
      </c>
      <c r="K388">
        <v>25000</v>
      </c>
      <c r="L388" t="s">
        <v>137</v>
      </c>
      <c r="M388" t="s">
        <v>161</v>
      </c>
      <c r="N388" t="s">
        <v>139</v>
      </c>
    </row>
    <row r="389" spans="1:14" x14ac:dyDescent="0.25">
      <c r="A389" t="s">
        <v>815</v>
      </c>
      <c r="B389" t="s">
        <v>239</v>
      </c>
      <c r="C389" t="s">
        <v>240</v>
      </c>
      <c r="D389">
        <v>46201</v>
      </c>
      <c r="E389" t="s">
        <v>18</v>
      </c>
      <c r="F389" t="s">
        <v>28</v>
      </c>
      <c r="G389" t="s">
        <v>169</v>
      </c>
      <c r="H389" t="s">
        <v>32</v>
      </c>
      <c r="I389">
        <v>5</v>
      </c>
      <c r="J389">
        <v>834451</v>
      </c>
      <c r="K389">
        <v>15000</v>
      </c>
      <c r="L389" t="s">
        <v>137</v>
      </c>
      <c r="M389" t="s">
        <v>161</v>
      </c>
      <c r="N389" t="s">
        <v>156</v>
      </c>
    </row>
    <row r="390" spans="1:14" x14ac:dyDescent="0.25">
      <c r="A390" t="s">
        <v>816</v>
      </c>
      <c r="B390" t="s">
        <v>336</v>
      </c>
      <c r="C390" t="s">
        <v>337</v>
      </c>
      <c r="D390">
        <v>46158</v>
      </c>
      <c r="E390" t="s">
        <v>34</v>
      </c>
      <c r="F390" t="s">
        <v>28</v>
      </c>
      <c r="G390" t="s">
        <v>177</v>
      </c>
      <c r="H390" t="s">
        <v>20</v>
      </c>
      <c r="I390">
        <v>4</v>
      </c>
      <c r="J390">
        <v>1128828</v>
      </c>
      <c r="K390">
        <v>50000</v>
      </c>
      <c r="L390" t="s">
        <v>137</v>
      </c>
      <c r="M390" t="s">
        <v>149</v>
      </c>
      <c r="N390" t="s">
        <v>139</v>
      </c>
    </row>
    <row r="391" spans="1:14" x14ac:dyDescent="0.25">
      <c r="A391" t="s">
        <v>817</v>
      </c>
      <c r="B391" t="s">
        <v>818</v>
      </c>
      <c r="C391" t="s">
        <v>17</v>
      </c>
      <c r="D391">
        <v>46098</v>
      </c>
      <c r="E391" t="s">
        <v>18</v>
      </c>
      <c r="F391" t="s">
        <v>160</v>
      </c>
      <c r="G391" t="s">
        <v>173</v>
      </c>
      <c r="H391" t="s">
        <v>32</v>
      </c>
      <c r="I391">
        <v>5</v>
      </c>
      <c r="J391">
        <v>467264</v>
      </c>
      <c r="K391">
        <v>25000</v>
      </c>
      <c r="L391" t="s">
        <v>148</v>
      </c>
      <c r="M391" t="s">
        <v>165</v>
      </c>
      <c r="N391" t="s">
        <v>156</v>
      </c>
    </row>
    <row r="392" spans="1:14" x14ac:dyDescent="0.25">
      <c r="A392" t="s">
        <v>819</v>
      </c>
      <c r="B392" t="s">
        <v>820</v>
      </c>
      <c r="C392" t="s">
        <v>446</v>
      </c>
      <c r="D392">
        <v>46026</v>
      </c>
      <c r="E392" t="s">
        <v>34</v>
      </c>
      <c r="F392" t="s">
        <v>143</v>
      </c>
      <c r="G392" t="s">
        <v>147</v>
      </c>
      <c r="H392" t="s">
        <v>35</v>
      </c>
      <c r="I392">
        <v>7</v>
      </c>
      <c r="J392">
        <v>1026537</v>
      </c>
      <c r="K392">
        <v>35000</v>
      </c>
      <c r="L392" t="s">
        <v>137</v>
      </c>
      <c r="M392" t="s">
        <v>138</v>
      </c>
      <c r="N392" t="s">
        <v>139</v>
      </c>
    </row>
    <row r="393" spans="1:14" x14ac:dyDescent="0.25">
      <c r="A393" t="s">
        <v>821</v>
      </c>
      <c r="B393" t="s">
        <v>289</v>
      </c>
      <c r="C393" t="s">
        <v>1383</v>
      </c>
      <c r="D393">
        <v>46102</v>
      </c>
      <c r="E393" t="s">
        <v>18</v>
      </c>
      <c r="F393" t="s">
        <v>1346</v>
      </c>
      <c r="G393" t="s">
        <v>39</v>
      </c>
      <c r="H393" t="s">
        <v>32</v>
      </c>
      <c r="I393">
        <v>7</v>
      </c>
      <c r="J393">
        <v>2024306</v>
      </c>
      <c r="K393">
        <v>15000</v>
      </c>
      <c r="L393" t="s">
        <v>137</v>
      </c>
      <c r="M393" t="s">
        <v>165</v>
      </c>
      <c r="N393" t="s">
        <v>156</v>
      </c>
    </row>
    <row r="394" spans="1:14" x14ac:dyDescent="0.25">
      <c r="A394" t="s">
        <v>822</v>
      </c>
      <c r="B394" t="s">
        <v>823</v>
      </c>
      <c r="C394" t="s">
        <v>404</v>
      </c>
      <c r="D394">
        <v>46125</v>
      </c>
      <c r="E394" t="s">
        <v>27</v>
      </c>
      <c r="F394" t="s">
        <v>160</v>
      </c>
      <c r="G394" t="s">
        <v>177</v>
      </c>
      <c r="H394" t="s">
        <v>32</v>
      </c>
      <c r="J394">
        <v>908334</v>
      </c>
      <c r="K394">
        <v>0</v>
      </c>
      <c r="L394" t="s">
        <v>137</v>
      </c>
      <c r="M394" t="s">
        <v>138</v>
      </c>
      <c r="N394" t="s">
        <v>156</v>
      </c>
    </row>
    <row r="395" spans="1:14" x14ac:dyDescent="0.25">
      <c r="A395" t="s">
        <v>824</v>
      </c>
      <c r="B395" t="s">
        <v>253</v>
      </c>
      <c r="C395" t="s">
        <v>176</v>
      </c>
      <c r="D395">
        <v>46051</v>
      </c>
      <c r="E395" t="s">
        <v>27</v>
      </c>
      <c r="F395" t="s">
        <v>28</v>
      </c>
      <c r="G395" t="s">
        <v>136</v>
      </c>
      <c r="H395" t="s">
        <v>25</v>
      </c>
      <c r="I395">
        <v>4</v>
      </c>
      <c r="J395">
        <v>1128992</v>
      </c>
      <c r="K395">
        <v>0</v>
      </c>
      <c r="L395" t="s">
        <v>137</v>
      </c>
      <c r="M395" t="s">
        <v>161</v>
      </c>
      <c r="N395" t="s">
        <v>156</v>
      </c>
    </row>
    <row r="396" spans="1:14" x14ac:dyDescent="0.25">
      <c r="A396" t="s">
        <v>825</v>
      </c>
      <c r="B396" t="s">
        <v>134</v>
      </c>
      <c r="C396" t="s">
        <v>135</v>
      </c>
      <c r="D396">
        <v>46163</v>
      </c>
      <c r="E396" t="s">
        <v>31</v>
      </c>
      <c r="F396" t="s">
        <v>1346</v>
      </c>
      <c r="G396" t="s">
        <v>173</v>
      </c>
      <c r="H396" t="s">
        <v>32</v>
      </c>
      <c r="I396">
        <v>4</v>
      </c>
      <c r="J396">
        <v>472601</v>
      </c>
      <c r="K396">
        <v>25000</v>
      </c>
      <c r="L396" t="s">
        <v>137</v>
      </c>
      <c r="M396" t="s">
        <v>138</v>
      </c>
      <c r="N396" t="s">
        <v>139</v>
      </c>
    </row>
    <row r="397" spans="1:14" x14ac:dyDescent="0.25">
      <c r="A397" t="s">
        <v>826</v>
      </c>
      <c r="B397" t="s">
        <v>569</v>
      </c>
      <c r="C397" t="s">
        <v>526</v>
      </c>
      <c r="D397">
        <v>46048</v>
      </c>
      <c r="E397" t="s">
        <v>18</v>
      </c>
      <c r="F397" t="s">
        <v>28</v>
      </c>
      <c r="G397" t="s">
        <v>177</v>
      </c>
      <c r="H397" t="s">
        <v>35</v>
      </c>
      <c r="I397">
        <v>6</v>
      </c>
      <c r="J397">
        <v>326084</v>
      </c>
      <c r="K397">
        <v>35000</v>
      </c>
      <c r="L397" t="s">
        <v>43</v>
      </c>
      <c r="M397" t="s">
        <v>161</v>
      </c>
      <c r="N397" t="s">
        <v>139</v>
      </c>
    </row>
    <row r="398" spans="1:14" x14ac:dyDescent="0.25">
      <c r="A398" t="s">
        <v>827</v>
      </c>
      <c r="B398" t="s">
        <v>640</v>
      </c>
      <c r="C398" t="s">
        <v>198</v>
      </c>
      <c r="D398">
        <v>46178</v>
      </c>
      <c r="E398" t="s">
        <v>18</v>
      </c>
      <c r="F398" t="s">
        <v>160</v>
      </c>
      <c r="G398" t="s">
        <v>177</v>
      </c>
      <c r="H398" t="s">
        <v>20</v>
      </c>
      <c r="I398">
        <v>4</v>
      </c>
      <c r="J398">
        <v>2190376</v>
      </c>
      <c r="K398">
        <v>50000</v>
      </c>
      <c r="L398" t="s">
        <v>137</v>
      </c>
      <c r="M398" t="s">
        <v>161</v>
      </c>
      <c r="N398" t="s">
        <v>156</v>
      </c>
    </row>
    <row r="399" spans="1:14" x14ac:dyDescent="0.25">
      <c r="A399" t="s">
        <v>828</v>
      </c>
      <c r="B399" t="s">
        <v>194</v>
      </c>
      <c r="C399" t="s">
        <v>195</v>
      </c>
      <c r="D399">
        <v>46032</v>
      </c>
      <c r="E399" t="s">
        <v>27</v>
      </c>
      <c r="F399" t="s">
        <v>28</v>
      </c>
      <c r="G399" t="s">
        <v>39</v>
      </c>
      <c r="H399" t="s">
        <v>32</v>
      </c>
      <c r="I399">
        <v>1</v>
      </c>
      <c r="J399">
        <v>1236432</v>
      </c>
      <c r="K399">
        <v>15000</v>
      </c>
      <c r="L399" t="s">
        <v>137</v>
      </c>
      <c r="M399" t="s">
        <v>161</v>
      </c>
      <c r="N399" t="s">
        <v>156</v>
      </c>
    </row>
    <row r="400" spans="1:14" x14ac:dyDescent="0.25">
      <c r="A400" t="s">
        <v>829</v>
      </c>
      <c r="B400" t="s">
        <v>580</v>
      </c>
      <c r="C400" t="s">
        <v>33</v>
      </c>
      <c r="D400">
        <v>46200</v>
      </c>
      <c r="E400" t="s">
        <v>34</v>
      </c>
      <c r="F400" t="s">
        <v>1346</v>
      </c>
      <c r="G400" t="s">
        <v>169</v>
      </c>
      <c r="H400" t="s">
        <v>20</v>
      </c>
      <c r="I400">
        <v>2</v>
      </c>
      <c r="J400">
        <v>1245193</v>
      </c>
      <c r="K400">
        <v>35000</v>
      </c>
      <c r="L400" t="s">
        <v>137</v>
      </c>
      <c r="M400" t="s">
        <v>161</v>
      </c>
      <c r="N400" t="s">
        <v>156</v>
      </c>
    </row>
    <row r="401" spans="1:14" x14ac:dyDescent="0.25">
      <c r="A401" t="s">
        <v>830</v>
      </c>
      <c r="B401" t="s">
        <v>260</v>
      </c>
      <c r="C401" t="s">
        <v>261</v>
      </c>
      <c r="D401">
        <v>46151</v>
      </c>
      <c r="E401" t="s">
        <v>34</v>
      </c>
      <c r="F401" t="s">
        <v>160</v>
      </c>
      <c r="G401" t="s">
        <v>177</v>
      </c>
      <c r="H401" t="s">
        <v>29</v>
      </c>
      <c r="I401">
        <v>7</v>
      </c>
      <c r="K401">
        <v>25000</v>
      </c>
      <c r="L401" t="s">
        <v>43</v>
      </c>
      <c r="M401" t="s">
        <v>161</v>
      </c>
      <c r="N401" t="s">
        <v>139</v>
      </c>
    </row>
    <row r="402" spans="1:14" x14ac:dyDescent="0.25">
      <c r="A402" t="s">
        <v>831</v>
      </c>
      <c r="B402" t="s">
        <v>797</v>
      </c>
      <c r="C402" t="s">
        <v>240</v>
      </c>
      <c r="D402">
        <v>46139</v>
      </c>
      <c r="E402" t="s">
        <v>18</v>
      </c>
      <c r="F402" t="s">
        <v>1346</v>
      </c>
      <c r="G402" t="s">
        <v>173</v>
      </c>
      <c r="H402" t="s">
        <v>29</v>
      </c>
      <c r="I402">
        <v>6</v>
      </c>
      <c r="J402">
        <v>714893</v>
      </c>
      <c r="K402">
        <v>0</v>
      </c>
      <c r="L402" t="s">
        <v>137</v>
      </c>
      <c r="M402" t="s">
        <v>161</v>
      </c>
      <c r="N402" t="s">
        <v>156</v>
      </c>
    </row>
    <row r="403" spans="1:14" x14ac:dyDescent="0.25">
      <c r="A403" t="s">
        <v>832</v>
      </c>
      <c r="B403" t="s">
        <v>689</v>
      </c>
      <c r="C403" t="s">
        <v>441</v>
      </c>
      <c r="D403">
        <v>46113</v>
      </c>
      <c r="E403" t="s">
        <v>23</v>
      </c>
      <c r="F403" t="s">
        <v>160</v>
      </c>
      <c r="G403" t="s">
        <v>173</v>
      </c>
      <c r="H403" t="s">
        <v>35</v>
      </c>
      <c r="I403">
        <v>1</v>
      </c>
      <c r="J403">
        <v>2107387</v>
      </c>
      <c r="K403">
        <v>50000</v>
      </c>
      <c r="L403" t="s">
        <v>137</v>
      </c>
      <c r="M403" t="s">
        <v>161</v>
      </c>
      <c r="N403" t="s">
        <v>139</v>
      </c>
    </row>
    <row r="404" spans="1:14" x14ac:dyDescent="0.25">
      <c r="A404" t="s">
        <v>833</v>
      </c>
      <c r="B404" t="s">
        <v>269</v>
      </c>
      <c r="C404" t="s">
        <v>180</v>
      </c>
      <c r="D404">
        <v>46081</v>
      </c>
      <c r="E404" t="s">
        <v>23</v>
      </c>
      <c r="F404" t="s">
        <v>1346</v>
      </c>
      <c r="G404" t="s">
        <v>169</v>
      </c>
      <c r="H404" t="s">
        <v>25</v>
      </c>
      <c r="I404">
        <v>2</v>
      </c>
      <c r="J404">
        <v>2323138</v>
      </c>
      <c r="K404">
        <v>50000</v>
      </c>
      <c r="L404" t="s">
        <v>137</v>
      </c>
      <c r="M404" t="s">
        <v>165</v>
      </c>
      <c r="N404" t="s">
        <v>139</v>
      </c>
    </row>
    <row r="405" spans="1:14" x14ac:dyDescent="0.25">
      <c r="A405" t="s">
        <v>834</v>
      </c>
      <c r="B405" t="s">
        <v>835</v>
      </c>
      <c r="C405" t="s">
        <v>297</v>
      </c>
      <c r="D405">
        <v>46112</v>
      </c>
      <c r="E405" t="s">
        <v>23</v>
      </c>
      <c r="F405" t="s">
        <v>1346</v>
      </c>
      <c r="G405" t="s">
        <v>136</v>
      </c>
      <c r="H405" t="s">
        <v>25</v>
      </c>
      <c r="I405">
        <v>6</v>
      </c>
      <c r="J405">
        <v>2408894</v>
      </c>
      <c r="K405">
        <v>25000</v>
      </c>
      <c r="L405" t="s">
        <v>137</v>
      </c>
      <c r="M405" t="s">
        <v>138</v>
      </c>
      <c r="N405" t="s">
        <v>139</v>
      </c>
    </row>
    <row r="406" spans="1:14" x14ac:dyDescent="0.25">
      <c r="A406" t="s">
        <v>836</v>
      </c>
      <c r="B406" t="s">
        <v>560</v>
      </c>
      <c r="C406" t="s">
        <v>164</v>
      </c>
      <c r="D406">
        <v>46092</v>
      </c>
      <c r="E406" t="s">
        <v>18</v>
      </c>
      <c r="F406" t="s">
        <v>1346</v>
      </c>
      <c r="G406" t="s">
        <v>39</v>
      </c>
      <c r="H406" t="s">
        <v>20</v>
      </c>
      <c r="I406">
        <v>2</v>
      </c>
      <c r="J406">
        <v>2298139</v>
      </c>
      <c r="K406">
        <v>0</v>
      </c>
      <c r="L406" t="s">
        <v>37</v>
      </c>
      <c r="M406" t="s">
        <v>165</v>
      </c>
      <c r="N406" t="s">
        <v>156</v>
      </c>
    </row>
    <row r="407" spans="1:14" x14ac:dyDescent="0.25">
      <c r="A407" t="s">
        <v>837</v>
      </c>
      <c r="B407" t="s">
        <v>319</v>
      </c>
      <c r="C407" t="s">
        <v>320</v>
      </c>
      <c r="D407">
        <v>46201</v>
      </c>
      <c r="E407" t="s">
        <v>31</v>
      </c>
      <c r="F407" t="s">
        <v>160</v>
      </c>
      <c r="G407" t="s">
        <v>136</v>
      </c>
      <c r="H407" t="s">
        <v>35</v>
      </c>
      <c r="I407">
        <v>2</v>
      </c>
      <c r="J407">
        <v>1926572</v>
      </c>
      <c r="K407">
        <v>25000</v>
      </c>
      <c r="L407" t="s">
        <v>137</v>
      </c>
      <c r="M407" t="s">
        <v>161</v>
      </c>
      <c r="N407" t="s">
        <v>139</v>
      </c>
    </row>
    <row r="408" spans="1:14" x14ac:dyDescent="0.25">
      <c r="A408" t="s">
        <v>838</v>
      </c>
      <c r="B408" t="s">
        <v>839</v>
      </c>
      <c r="C408" t="s">
        <v>526</v>
      </c>
      <c r="D408">
        <v>46157</v>
      </c>
      <c r="E408" t="s">
        <v>27</v>
      </c>
      <c r="F408" t="s">
        <v>28</v>
      </c>
      <c r="G408" t="s">
        <v>136</v>
      </c>
      <c r="H408" t="s">
        <v>25</v>
      </c>
      <c r="I408">
        <v>6</v>
      </c>
      <c r="J408">
        <v>853802</v>
      </c>
      <c r="K408">
        <v>25000</v>
      </c>
      <c r="L408" t="s">
        <v>137</v>
      </c>
      <c r="M408" t="s">
        <v>503</v>
      </c>
      <c r="N408" t="s">
        <v>156</v>
      </c>
    </row>
    <row r="409" spans="1:14" x14ac:dyDescent="0.25">
      <c r="A409" t="s">
        <v>840</v>
      </c>
      <c r="B409" t="s">
        <v>398</v>
      </c>
      <c r="C409" t="s">
        <v>399</v>
      </c>
      <c r="D409">
        <v>46171</v>
      </c>
      <c r="E409" t="s">
        <v>31</v>
      </c>
      <c r="F409" t="s">
        <v>1346</v>
      </c>
      <c r="G409" t="s">
        <v>136</v>
      </c>
      <c r="H409" t="s">
        <v>20</v>
      </c>
      <c r="I409">
        <v>7</v>
      </c>
      <c r="J409" t="s">
        <v>841</v>
      </c>
      <c r="K409">
        <v>25000</v>
      </c>
      <c r="L409" t="s">
        <v>137</v>
      </c>
      <c r="M409" t="s">
        <v>138</v>
      </c>
      <c r="N409" t="s">
        <v>156</v>
      </c>
    </row>
    <row r="410" spans="1:14" x14ac:dyDescent="0.25">
      <c r="A410" t="s">
        <v>842</v>
      </c>
      <c r="B410" t="s">
        <v>308</v>
      </c>
      <c r="C410" t="s">
        <v>22</v>
      </c>
      <c r="D410">
        <v>46198</v>
      </c>
      <c r="E410" t="s">
        <v>27</v>
      </c>
      <c r="F410" t="s">
        <v>143</v>
      </c>
      <c r="G410" t="s">
        <v>136</v>
      </c>
      <c r="H410" t="s">
        <v>32</v>
      </c>
      <c r="I410">
        <v>6</v>
      </c>
      <c r="J410">
        <v>737112</v>
      </c>
      <c r="K410">
        <v>35000</v>
      </c>
      <c r="L410" t="s">
        <v>137</v>
      </c>
      <c r="M410" t="s">
        <v>149</v>
      </c>
      <c r="N410" t="s">
        <v>139</v>
      </c>
    </row>
    <row r="411" spans="1:14" x14ac:dyDescent="0.25">
      <c r="A411" t="s">
        <v>843</v>
      </c>
      <c r="B411" t="s">
        <v>844</v>
      </c>
      <c r="C411" t="s">
        <v>246</v>
      </c>
      <c r="D411">
        <v>46098</v>
      </c>
      <c r="E411" t="s">
        <v>91</v>
      </c>
      <c r="F411" t="s">
        <v>160</v>
      </c>
      <c r="G411" t="s">
        <v>39</v>
      </c>
      <c r="H411" t="s">
        <v>25</v>
      </c>
      <c r="I411">
        <v>1</v>
      </c>
      <c r="J411">
        <v>185399</v>
      </c>
      <c r="K411">
        <v>35000</v>
      </c>
      <c r="L411" t="s">
        <v>137</v>
      </c>
      <c r="M411" t="s">
        <v>845</v>
      </c>
      <c r="N411" t="s">
        <v>156</v>
      </c>
    </row>
    <row r="412" spans="1:14" x14ac:dyDescent="0.25">
      <c r="A412" t="s">
        <v>846</v>
      </c>
      <c r="B412" t="s">
        <v>509</v>
      </c>
      <c r="C412" t="s">
        <v>297</v>
      </c>
      <c r="D412">
        <v>46113</v>
      </c>
      <c r="E412" t="s">
        <v>27</v>
      </c>
      <c r="F412" t="s">
        <v>143</v>
      </c>
      <c r="G412" t="s">
        <v>173</v>
      </c>
      <c r="H412" t="s">
        <v>25</v>
      </c>
      <c r="I412">
        <v>3</v>
      </c>
      <c r="J412">
        <v>122691</v>
      </c>
      <c r="K412">
        <v>0</v>
      </c>
      <c r="L412" t="s">
        <v>137</v>
      </c>
      <c r="M412" t="s">
        <v>165</v>
      </c>
      <c r="N412" t="s">
        <v>156</v>
      </c>
    </row>
    <row r="413" spans="1:14" x14ac:dyDescent="0.25">
      <c r="A413" t="s">
        <v>847</v>
      </c>
      <c r="B413" t="s">
        <v>848</v>
      </c>
      <c r="C413" t="s">
        <v>334</v>
      </c>
      <c r="D413">
        <v>46073</v>
      </c>
      <c r="E413" t="s">
        <v>34</v>
      </c>
      <c r="F413" t="s">
        <v>143</v>
      </c>
      <c r="G413" t="s">
        <v>169</v>
      </c>
      <c r="H413" t="s">
        <v>32</v>
      </c>
      <c r="I413">
        <v>1</v>
      </c>
      <c r="J413">
        <v>1932152</v>
      </c>
      <c r="K413">
        <v>50000</v>
      </c>
      <c r="L413" t="s">
        <v>262</v>
      </c>
      <c r="M413" t="s">
        <v>161</v>
      </c>
      <c r="N413" t="s">
        <v>139</v>
      </c>
    </row>
    <row r="414" spans="1:14" x14ac:dyDescent="0.25">
      <c r="A414" t="s">
        <v>849</v>
      </c>
      <c r="B414" t="s">
        <v>620</v>
      </c>
      <c r="C414" t="s">
        <v>277</v>
      </c>
      <c r="D414">
        <v>46048</v>
      </c>
      <c r="E414" t="s">
        <v>34</v>
      </c>
      <c r="F414" t="s">
        <v>143</v>
      </c>
      <c r="G414" t="s">
        <v>169</v>
      </c>
      <c r="H414" t="s">
        <v>29</v>
      </c>
      <c r="I414">
        <v>5</v>
      </c>
      <c r="J414">
        <v>1215807</v>
      </c>
      <c r="K414">
        <v>25000</v>
      </c>
      <c r="L414" t="s">
        <v>137</v>
      </c>
      <c r="M414" t="s">
        <v>138</v>
      </c>
      <c r="N414" t="s">
        <v>139</v>
      </c>
    </row>
    <row r="415" spans="1:14" x14ac:dyDescent="0.25">
      <c r="A415" t="s">
        <v>850</v>
      </c>
      <c r="B415" t="s">
        <v>330</v>
      </c>
      <c r="C415" t="s">
        <v>331</v>
      </c>
      <c r="D415" t="s">
        <v>1384</v>
      </c>
      <c r="E415" t="s">
        <v>31</v>
      </c>
      <c r="F415" t="s">
        <v>143</v>
      </c>
      <c r="G415" t="s">
        <v>39</v>
      </c>
      <c r="H415" t="s">
        <v>90</v>
      </c>
      <c r="I415">
        <v>3</v>
      </c>
      <c r="J415">
        <v>2444834</v>
      </c>
      <c r="K415">
        <v>15000</v>
      </c>
      <c r="L415" t="s">
        <v>137</v>
      </c>
      <c r="M415" t="s">
        <v>161</v>
      </c>
      <c r="N415" t="s">
        <v>156</v>
      </c>
    </row>
    <row r="416" spans="1:14" x14ac:dyDescent="0.25">
      <c r="A416" t="s">
        <v>851</v>
      </c>
      <c r="B416" t="s">
        <v>440</v>
      </c>
      <c r="C416" t="s">
        <v>441</v>
      </c>
      <c r="D416">
        <v>46157</v>
      </c>
      <c r="E416" t="s">
        <v>31</v>
      </c>
      <c r="F416" t="s">
        <v>1346</v>
      </c>
      <c r="G416" t="s">
        <v>39</v>
      </c>
      <c r="H416" t="s">
        <v>32</v>
      </c>
      <c r="I416">
        <v>5</v>
      </c>
      <c r="J416">
        <v>1973468</v>
      </c>
      <c r="K416">
        <v>25000</v>
      </c>
      <c r="L416" t="s">
        <v>852</v>
      </c>
      <c r="M416" t="s">
        <v>138</v>
      </c>
      <c r="N416" t="s">
        <v>139</v>
      </c>
    </row>
    <row r="417" spans="1:14" x14ac:dyDescent="0.25">
      <c r="A417" t="s">
        <v>853</v>
      </c>
      <c r="B417" t="s">
        <v>191</v>
      </c>
      <c r="C417" t="s">
        <v>192</v>
      </c>
      <c r="E417" t="s">
        <v>27</v>
      </c>
      <c r="F417" t="s">
        <v>1346</v>
      </c>
      <c r="G417" t="s">
        <v>177</v>
      </c>
      <c r="H417" t="s">
        <v>35</v>
      </c>
      <c r="I417">
        <v>1</v>
      </c>
      <c r="J417">
        <v>236068</v>
      </c>
      <c r="K417">
        <v>50000</v>
      </c>
      <c r="L417" t="s">
        <v>37</v>
      </c>
      <c r="M417" t="s">
        <v>149</v>
      </c>
      <c r="N417" t="s">
        <v>139</v>
      </c>
    </row>
    <row r="418" spans="1:14" x14ac:dyDescent="0.25">
      <c r="A418" t="s">
        <v>854</v>
      </c>
      <c r="B418" t="s">
        <v>141</v>
      </c>
      <c r="C418" t="s">
        <v>142</v>
      </c>
      <c r="D418">
        <v>46181</v>
      </c>
      <c r="E418" t="s">
        <v>18</v>
      </c>
      <c r="F418" t="s">
        <v>28</v>
      </c>
      <c r="G418" t="s">
        <v>169</v>
      </c>
      <c r="H418" t="s">
        <v>88</v>
      </c>
      <c r="I418">
        <v>3</v>
      </c>
      <c r="J418">
        <v>2398637</v>
      </c>
      <c r="K418">
        <v>50000</v>
      </c>
      <c r="L418" t="s">
        <v>137</v>
      </c>
      <c r="M418" t="s">
        <v>165</v>
      </c>
      <c r="N418" t="s">
        <v>139</v>
      </c>
    </row>
    <row r="419" spans="1:14" x14ac:dyDescent="0.25">
      <c r="A419" t="s">
        <v>855</v>
      </c>
      <c r="B419" t="s">
        <v>629</v>
      </c>
      <c r="C419" t="s">
        <v>441</v>
      </c>
      <c r="D419">
        <v>46155</v>
      </c>
      <c r="E419" t="s">
        <v>23</v>
      </c>
      <c r="F419" t="s">
        <v>1346</v>
      </c>
      <c r="G419" t="s">
        <v>147</v>
      </c>
      <c r="H419" t="s">
        <v>20</v>
      </c>
      <c r="I419">
        <v>1</v>
      </c>
      <c r="J419">
        <v>2050305</v>
      </c>
      <c r="K419">
        <v>0</v>
      </c>
      <c r="L419" t="s">
        <v>137</v>
      </c>
      <c r="M419" t="s">
        <v>165</v>
      </c>
      <c r="N419" t="s">
        <v>139</v>
      </c>
    </row>
    <row r="420" spans="1:14" x14ac:dyDescent="0.25">
      <c r="A420" t="s">
        <v>856</v>
      </c>
      <c r="B420" t="s">
        <v>857</v>
      </c>
      <c r="C420" t="s">
        <v>301</v>
      </c>
      <c r="D420">
        <v>46146</v>
      </c>
      <c r="E420" t="s">
        <v>105</v>
      </c>
      <c r="F420" t="s">
        <v>143</v>
      </c>
      <c r="G420" t="s">
        <v>147</v>
      </c>
      <c r="H420" t="s">
        <v>29</v>
      </c>
      <c r="I420">
        <v>1</v>
      </c>
      <c r="J420">
        <v>1509604</v>
      </c>
      <c r="K420">
        <v>0</v>
      </c>
      <c r="L420" t="s">
        <v>137</v>
      </c>
      <c r="M420" t="s">
        <v>138</v>
      </c>
      <c r="N420" t="s">
        <v>139</v>
      </c>
    </row>
    <row r="421" spans="1:14" x14ac:dyDescent="0.25">
      <c r="A421" t="s">
        <v>858</v>
      </c>
      <c r="B421" t="s">
        <v>330</v>
      </c>
      <c r="C421" t="s">
        <v>331</v>
      </c>
      <c r="D421">
        <v>46080</v>
      </c>
      <c r="E421" t="s">
        <v>23</v>
      </c>
      <c r="F421" t="s">
        <v>28</v>
      </c>
      <c r="G421" t="s">
        <v>1360</v>
      </c>
      <c r="H421" t="s">
        <v>29</v>
      </c>
      <c r="I421">
        <v>6</v>
      </c>
      <c r="J421">
        <v>769175</v>
      </c>
      <c r="K421">
        <v>25000</v>
      </c>
      <c r="L421" t="s">
        <v>137</v>
      </c>
      <c r="M421" t="s">
        <v>149</v>
      </c>
      <c r="N421" t="s">
        <v>156</v>
      </c>
    </row>
    <row r="422" spans="1:14" x14ac:dyDescent="0.25">
      <c r="A422" t="s">
        <v>859</v>
      </c>
      <c r="B422" t="s">
        <v>313</v>
      </c>
      <c r="C422" t="s">
        <v>314</v>
      </c>
      <c r="D422">
        <v>46023</v>
      </c>
      <c r="E422" t="s">
        <v>23</v>
      </c>
      <c r="F422" t="s">
        <v>28</v>
      </c>
      <c r="G422" t="s">
        <v>173</v>
      </c>
      <c r="H422" t="s">
        <v>35</v>
      </c>
      <c r="I422">
        <v>1</v>
      </c>
      <c r="J422">
        <v>761821</v>
      </c>
      <c r="K422">
        <v>50000</v>
      </c>
      <c r="L422" t="s">
        <v>137</v>
      </c>
      <c r="M422" t="s">
        <v>161</v>
      </c>
      <c r="N422" t="s">
        <v>139</v>
      </c>
    </row>
    <row r="423" spans="1:14" x14ac:dyDescent="0.25">
      <c r="A423" t="s">
        <v>860</v>
      </c>
      <c r="B423" t="s">
        <v>811</v>
      </c>
      <c r="C423" t="s">
        <v>17</v>
      </c>
      <c r="D423">
        <v>46037</v>
      </c>
      <c r="E423" t="s">
        <v>18</v>
      </c>
      <c r="F423" t="s">
        <v>1346</v>
      </c>
      <c r="G423" t="s">
        <v>147</v>
      </c>
      <c r="H423" t="s">
        <v>32</v>
      </c>
      <c r="I423">
        <v>4</v>
      </c>
      <c r="J423">
        <v>630914</v>
      </c>
      <c r="K423">
        <v>25000</v>
      </c>
      <c r="L423" t="s">
        <v>137</v>
      </c>
      <c r="M423" t="s">
        <v>161</v>
      </c>
      <c r="N423" t="s">
        <v>156</v>
      </c>
    </row>
    <row r="424" spans="1:14" x14ac:dyDescent="0.25">
      <c r="A424" t="s">
        <v>861</v>
      </c>
      <c r="B424" t="s">
        <v>509</v>
      </c>
      <c r="C424" t="s">
        <v>297</v>
      </c>
      <c r="D424">
        <v>46060</v>
      </c>
      <c r="E424" t="s">
        <v>27</v>
      </c>
      <c r="F424" t="s">
        <v>143</v>
      </c>
      <c r="G424" t="s">
        <v>96</v>
      </c>
      <c r="H424" t="s">
        <v>32</v>
      </c>
      <c r="I424">
        <v>2</v>
      </c>
      <c r="J424">
        <v>210839</v>
      </c>
      <c r="K424">
        <v>15000</v>
      </c>
      <c r="L424" t="s">
        <v>148</v>
      </c>
      <c r="M424" t="s">
        <v>138</v>
      </c>
      <c r="N424" t="s">
        <v>139</v>
      </c>
    </row>
    <row r="425" spans="1:14" x14ac:dyDescent="0.25">
      <c r="A425" t="s">
        <v>862</v>
      </c>
      <c r="B425" t="s">
        <v>401</v>
      </c>
      <c r="C425" t="s">
        <v>189</v>
      </c>
      <c r="D425" t="s">
        <v>110</v>
      </c>
      <c r="E425" t="s">
        <v>31</v>
      </c>
      <c r="F425" t="s">
        <v>1385</v>
      </c>
      <c r="G425" t="s">
        <v>39</v>
      </c>
      <c r="H425" t="s">
        <v>32</v>
      </c>
      <c r="I425">
        <v>4</v>
      </c>
      <c r="J425">
        <v>539512</v>
      </c>
      <c r="K425">
        <v>50000</v>
      </c>
      <c r="L425" t="s">
        <v>137</v>
      </c>
      <c r="M425" t="s">
        <v>161</v>
      </c>
      <c r="N425" t="s">
        <v>139</v>
      </c>
    </row>
    <row r="426" spans="1:14" x14ac:dyDescent="0.25">
      <c r="A426" t="s">
        <v>863</v>
      </c>
      <c r="B426" t="s">
        <v>219</v>
      </c>
      <c r="C426" t="s">
        <v>220</v>
      </c>
      <c r="D426">
        <v>46030</v>
      </c>
      <c r="E426" t="s">
        <v>34</v>
      </c>
      <c r="F426" t="s">
        <v>160</v>
      </c>
      <c r="G426" t="s">
        <v>169</v>
      </c>
      <c r="H426" t="s">
        <v>35</v>
      </c>
      <c r="I426">
        <v>1</v>
      </c>
      <c r="J426">
        <v>1308758</v>
      </c>
      <c r="K426">
        <v>35000</v>
      </c>
      <c r="L426" t="s">
        <v>137</v>
      </c>
      <c r="M426" t="s">
        <v>161</v>
      </c>
      <c r="N426" t="s">
        <v>139</v>
      </c>
    </row>
    <row r="427" spans="1:14" x14ac:dyDescent="0.25">
      <c r="A427" t="s">
        <v>864</v>
      </c>
      <c r="B427" t="s">
        <v>398</v>
      </c>
      <c r="C427" t="s">
        <v>399</v>
      </c>
      <c r="D427">
        <v>46113</v>
      </c>
      <c r="E427" t="s">
        <v>18</v>
      </c>
      <c r="F427" t="s">
        <v>1346</v>
      </c>
      <c r="G427" t="s">
        <v>147</v>
      </c>
      <c r="H427" t="s">
        <v>35</v>
      </c>
      <c r="I427">
        <v>6</v>
      </c>
      <c r="J427">
        <v>704281</v>
      </c>
      <c r="K427">
        <v>35000</v>
      </c>
      <c r="L427" t="s">
        <v>137</v>
      </c>
      <c r="M427" t="s">
        <v>161</v>
      </c>
      <c r="N427" t="s">
        <v>156</v>
      </c>
    </row>
    <row r="428" spans="1:14" x14ac:dyDescent="0.25">
      <c r="A428" t="s">
        <v>865</v>
      </c>
      <c r="B428" t="s">
        <v>866</v>
      </c>
      <c r="C428" t="s">
        <v>176</v>
      </c>
      <c r="D428">
        <v>46203</v>
      </c>
      <c r="E428" t="s">
        <v>34</v>
      </c>
      <c r="F428" t="s">
        <v>1374</v>
      </c>
      <c r="G428" t="s">
        <v>39</v>
      </c>
      <c r="H428" t="s">
        <v>29</v>
      </c>
      <c r="I428">
        <v>5</v>
      </c>
      <c r="J428">
        <v>2322243</v>
      </c>
      <c r="K428">
        <v>35000</v>
      </c>
      <c r="L428" t="s">
        <v>137</v>
      </c>
      <c r="M428" t="s">
        <v>138</v>
      </c>
      <c r="N428" t="s">
        <v>139</v>
      </c>
    </row>
    <row r="429" spans="1:14" x14ac:dyDescent="0.25">
      <c r="A429" t="s">
        <v>867</v>
      </c>
      <c r="B429" t="s">
        <v>431</v>
      </c>
      <c r="C429" t="s">
        <v>340</v>
      </c>
      <c r="D429">
        <v>46191</v>
      </c>
      <c r="E429" t="s">
        <v>31</v>
      </c>
      <c r="F429" t="s">
        <v>28</v>
      </c>
      <c r="G429" t="s">
        <v>147</v>
      </c>
      <c r="H429" t="s">
        <v>29</v>
      </c>
      <c r="I429">
        <v>1</v>
      </c>
      <c r="J429">
        <v>1390580</v>
      </c>
      <c r="K429">
        <v>35000</v>
      </c>
      <c r="L429" t="s">
        <v>43</v>
      </c>
      <c r="M429" t="s">
        <v>138</v>
      </c>
      <c r="N429" t="s">
        <v>139</v>
      </c>
    </row>
    <row r="430" spans="1:14" x14ac:dyDescent="0.25">
      <c r="A430" t="s">
        <v>868</v>
      </c>
      <c r="B430" t="s">
        <v>869</v>
      </c>
      <c r="C430" t="s">
        <v>446</v>
      </c>
      <c r="D430">
        <v>46201</v>
      </c>
      <c r="E430" t="s">
        <v>31</v>
      </c>
      <c r="F430" t="s">
        <v>160</v>
      </c>
      <c r="G430" t="s">
        <v>173</v>
      </c>
      <c r="H430" t="s">
        <v>20</v>
      </c>
      <c r="I430">
        <v>5</v>
      </c>
      <c r="J430">
        <v>1479275</v>
      </c>
      <c r="K430">
        <v>50000</v>
      </c>
      <c r="L430" t="s">
        <v>137</v>
      </c>
      <c r="M430" t="s">
        <v>138</v>
      </c>
      <c r="N430" t="s">
        <v>156</v>
      </c>
    </row>
    <row r="431" spans="1:14" x14ac:dyDescent="0.25">
      <c r="A431" t="s">
        <v>870</v>
      </c>
      <c r="B431" t="s">
        <v>558</v>
      </c>
      <c r="C431" t="s">
        <v>526</v>
      </c>
      <c r="D431">
        <v>46047</v>
      </c>
      <c r="E431" t="s">
        <v>18</v>
      </c>
      <c r="F431" t="s">
        <v>160</v>
      </c>
      <c r="G431" t="s">
        <v>177</v>
      </c>
      <c r="H431" t="s">
        <v>32</v>
      </c>
      <c r="I431">
        <v>6</v>
      </c>
      <c r="J431">
        <v>565520</v>
      </c>
      <c r="K431">
        <v>35000</v>
      </c>
      <c r="L431" t="s">
        <v>137</v>
      </c>
      <c r="M431" t="s">
        <v>138</v>
      </c>
      <c r="N431" t="s">
        <v>139</v>
      </c>
    </row>
    <row r="432" spans="1:14" x14ac:dyDescent="0.25">
      <c r="A432" t="s">
        <v>871</v>
      </c>
      <c r="B432" t="s">
        <v>872</v>
      </c>
      <c r="C432" t="s">
        <v>284</v>
      </c>
      <c r="D432">
        <v>46039</v>
      </c>
      <c r="E432" t="s">
        <v>23</v>
      </c>
      <c r="F432" t="s">
        <v>28</v>
      </c>
      <c r="G432" t="s">
        <v>136</v>
      </c>
      <c r="H432" t="s">
        <v>35</v>
      </c>
      <c r="I432">
        <v>3</v>
      </c>
      <c r="J432">
        <v>379739</v>
      </c>
      <c r="K432">
        <v>50000</v>
      </c>
      <c r="L432" t="s">
        <v>137</v>
      </c>
      <c r="M432" t="s">
        <v>165</v>
      </c>
      <c r="N432" t="s">
        <v>156</v>
      </c>
    </row>
    <row r="433" spans="1:14" x14ac:dyDescent="0.25">
      <c r="A433" t="s">
        <v>873</v>
      </c>
      <c r="B433" t="s">
        <v>872</v>
      </c>
      <c r="C433" t="s">
        <v>1386</v>
      </c>
      <c r="D433">
        <v>46067</v>
      </c>
      <c r="E433" t="s">
        <v>27</v>
      </c>
      <c r="F433" t="s">
        <v>143</v>
      </c>
      <c r="G433" t="s">
        <v>177</v>
      </c>
      <c r="H433" t="s">
        <v>25</v>
      </c>
      <c r="I433">
        <v>6</v>
      </c>
      <c r="J433">
        <v>1467039</v>
      </c>
      <c r="K433">
        <v>0</v>
      </c>
      <c r="L433" t="s">
        <v>137</v>
      </c>
      <c r="M433" t="s">
        <v>161</v>
      </c>
      <c r="N433" t="s">
        <v>139</v>
      </c>
    </row>
    <row r="434" spans="1:14" x14ac:dyDescent="0.25">
      <c r="A434" t="s">
        <v>874</v>
      </c>
      <c r="B434" t="s">
        <v>683</v>
      </c>
      <c r="C434" t="s">
        <v>684</v>
      </c>
      <c r="D434">
        <v>46196</v>
      </c>
      <c r="E434" t="s">
        <v>27</v>
      </c>
      <c r="F434" t="s">
        <v>143</v>
      </c>
      <c r="G434" t="s">
        <v>173</v>
      </c>
      <c r="H434" t="s">
        <v>35</v>
      </c>
      <c r="I434">
        <v>2</v>
      </c>
      <c r="J434">
        <v>1319945</v>
      </c>
      <c r="K434">
        <v>15000</v>
      </c>
      <c r="L434" t="s">
        <v>137</v>
      </c>
      <c r="M434" t="s">
        <v>138</v>
      </c>
      <c r="N434" t="s">
        <v>156</v>
      </c>
    </row>
    <row r="435" spans="1:14" x14ac:dyDescent="0.25">
      <c r="A435" t="s">
        <v>875</v>
      </c>
      <c r="B435" t="s">
        <v>434</v>
      </c>
      <c r="C435" t="s">
        <v>435</v>
      </c>
      <c r="D435">
        <v>46194</v>
      </c>
      <c r="E435" t="s">
        <v>31</v>
      </c>
      <c r="F435" t="s">
        <v>160</v>
      </c>
      <c r="G435" t="s">
        <v>136</v>
      </c>
      <c r="H435" t="s">
        <v>29</v>
      </c>
      <c r="I435">
        <v>1</v>
      </c>
      <c r="J435">
        <v>523517</v>
      </c>
      <c r="K435">
        <v>15000</v>
      </c>
      <c r="L435" t="s">
        <v>148</v>
      </c>
      <c r="M435" t="s">
        <v>165</v>
      </c>
      <c r="N435" t="s">
        <v>139</v>
      </c>
    </row>
    <row r="436" spans="1:14" x14ac:dyDescent="0.25">
      <c r="A436" t="s">
        <v>876</v>
      </c>
      <c r="B436" t="s">
        <v>376</v>
      </c>
      <c r="C436" t="s">
        <v>1387</v>
      </c>
      <c r="D436">
        <v>46076</v>
      </c>
      <c r="E436" t="s">
        <v>18</v>
      </c>
      <c r="F436" t="s">
        <v>160</v>
      </c>
      <c r="G436" t="s">
        <v>39</v>
      </c>
      <c r="H436" t="s">
        <v>32</v>
      </c>
      <c r="I436">
        <v>3</v>
      </c>
      <c r="J436">
        <v>2106979</v>
      </c>
      <c r="K436">
        <v>50000</v>
      </c>
      <c r="L436" t="s">
        <v>137</v>
      </c>
      <c r="M436" t="s">
        <v>165</v>
      </c>
      <c r="N436" t="s">
        <v>139</v>
      </c>
    </row>
    <row r="437" spans="1:14" x14ac:dyDescent="0.25">
      <c r="A437" t="s">
        <v>877</v>
      </c>
      <c r="B437" t="s">
        <v>356</v>
      </c>
      <c r="C437" t="s">
        <v>357</v>
      </c>
      <c r="D437">
        <v>46041</v>
      </c>
      <c r="E437" t="s">
        <v>31</v>
      </c>
      <c r="F437" t="s">
        <v>143</v>
      </c>
      <c r="G437" t="s">
        <v>173</v>
      </c>
      <c r="H437" t="s">
        <v>35</v>
      </c>
      <c r="I437">
        <v>7</v>
      </c>
      <c r="J437">
        <v>447758</v>
      </c>
      <c r="K437">
        <v>15000</v>
      </c>
      <c r="L437" t="s">
        <v>137</v>
      </c>
      <c r="M437" t="s">
        <v>161</v>
      </c>
      <c r="N437" t="s">
        <v>139</v>
      </c>
    </row>
    <row r="438" spans="1:14" x14ac:dyDescent="0.25">
      <c r="A438" t="s">
        <v>878</v>
      </c>
      <c r="B438" t="s">
        <v>718</v>
      </c>
      <c r="C438" t="s">
        <v>155</v>
      </c>
      <c r="D438">
        <v>46080</v>
      </c>
      <c r="E438" t="s">
        <v>18</v>
      </c>
      <c r="F438" t="s">
        <v>1346</v>
      </c>
      <c r="G438" t="s">
        <v>173</v>
      </c>
      <c r="H438" t="s">
        <v>35</v>
      </c>
      <c r="I438">
        <v>4</v>
      </c>
      <c r="J438">
        <v>1335913</v>
      </c>
      <c r="K438">
        <v>25000</v>
      </c>
      <c r="L438" t="s">
        <v>137</v>
      </c>
      <c r="M438" t="s">
        <v>161</v>
      </c>
      <c r="N438" t="s">
        <v>156</v>
      </c>
    </row>
    <row r="439" spans="1:14" x14ac:dyDescent="0.25">
      <c r="A439" t="s">
        <v>879</v>
      </c>
      <c r="B439" t="s">
        <v>392</v>
      </c>
      <c r="C439" t="s">
        <v>183</v>
      </c>
      <c r="D439">
        <v>46155</v>
      </c>
      <c r="E439" t="s">
        <v>23</v>
      </c>
      <c r="F439" t="s">
        <v>28</v>
      </c>
      <c r="G439" t="s">
        <v>136</v>
      </c>
      <c r="H439" t="s">
        <v>20</v>
      </c>
      <c r="I439">
        <v>4</v>
      </c>
      <c r="J439">
        <v>2217349</v>
      </c>
      <c r="K439">
        <v>25000</v>
      </c>
      <c r="L439" t="s">
        <v>137</v>
      </c>
      <c r="M439" t="s">
        <v>138</v>
      </c>
      <c r="N439" t="s">
        <v>156</v>
      </c>
    </row>
    <row r="440" spans="1:14" x14ac:dyDescent="0.25">
      <c r="A440" t="s">
        <v>880</v>
      </c>
      <c r="B440" t="s">
        <v>881</v>
      </c>
      <c r="C440" t="s">
        <v>159</v>
      </c>
      <c r="D440">
        <v>46130</v>
      </c>
      <c r="E440" t="s">
        <v>34</v>
      </c>
      <c r="F440" t="s">
        <v>160</v>
      </c>
      <c r="G440" t="s">
        <v>177</v>
      </c>
      <c r="H440" t="s">
        <v>32</v>
      </c>
      <c r="I440">
        <v>3</v>
      </c>
      <c r="J440">
        <v>1214214</v>
      </c>
      <c r="K440">
        <v>15000</v>
      </c>
      <c r="L440" t="s">
        <v>148</v>
      </c>
      <c r="M440" t="s">
        <v>138</v>
      </c>
      <c r="N440" t="s">
        <v>156</v>
      </c>
    </row>
    <row r="441" spans="1:14" x14ac:dyDescent="0.25">
      <c r="A441" t="s">
        <v>882</v>
      </c>
      <c r="B441" t="s">
        <v>629</v>
      </c>
      <c r="C441" t="s">
        <v>441</v>
      </c>
      <c r="D441">
        <v>46167</v>
      </c>
      <c r="E441" t="s">
        <v>27</v>
      </c>
      <c r="F441" t="s">
        <v>160</v>
      </c>
      <c r="G441" t="s">
        <v>147</v>
      </c>
      <c r="H441" t="s">
        <v>32</v>
      </c>
      <c r="I441">
        <v>1</v>
      </c>
      <c r="J441">
        <v>268319</v>
      </c>
      <c r="K441">
        <v>25000</v>
      </c>
      <c r="L441" t="s">
        <v>43</v>
      </c>
      <c r="M441" t="s">
        <v>138</v>
      </c>
      <c r="N441" t="s">
        <v>156</v>
      </c>
    </row>
    <row r="442" spans="1:14" x14ac:dyDescent="0.25">
      <c r="A442" t="s">
        <v>883</v>
      </c>
      <c r="B442" t="s">
        <v>239</v>
      </c>
      <c r="C442" t="s">
        <v>240</v>
      </c>
      <c r="D442">
        <v>46033</v>
      </c>
      <c r="E442" t="s">
        <v>31</v>
      </c>
      <c r="F442" t="s">
        <v>28</v>
      </c>
      <c r="G442" t="s">
        <v>136</v>
      </c>
      <c r="H442" t="s">
        <v>29</v>
      </c>
      <c r="I442">
        <v>4</v>
      </c>
      <c r="J442">
        <v>556464</v>
      </c>
      <c r="K442">
        <v>0</v>
      </c>
      <c r="L442" t="s">
        <v>137</v>
      </c>
      <c r="M442" t="s">
        <v>138</v>
      </c>
      <c r="N442" t="s">
        <v>156</v>
      </c>
    </row>
    <row r="443" spans="1:14" x14ac:dyDescent="0.25">
      <c r="A443" t="s">
        <v>884</v>
      </c>
      <c r="B443" t="s">
        <v>612</v>
      </c>
      <c r="C443" t="s">
        <v>205</v>
      </c>
      <c r="D443">
        <v>46037</v>
      </c>
      <c r="E443" t="s">
        <v>23</v>
      </c>
      <c r="F443" t="s">
        <v>28</v>
      </c>
      <c r="G443" t="s">
        <v>173</v>
      </c>
      <c r="H443" t="s">
        <v>32</v>
      </c>
      <c r="I443">
        <v>5</v>
      </c>
      <c r="J443">
        <v>230535</v>
      </c>
      <c r="K443">
        <v>15000</v>
      </c>
      <c r="L443" t="s">
        <v>137</v>
      </c>
      <c r="M443" t="s">
        <v>138</v>
      </c>
      <c r="N443" t="s">
        <v>139</v>
      </c>
    </row>
    <row r="444" spans="1:14" x14ac:dyDescent="0.25">
      <c r="A444" t="s">
        <v>885</v>
      </c>
      <c r="B444" t="s">
        <v>886</v>
      </c>
      <c r="C444" t="s">
        <v>176</v>
      </c>
      <c r="D444">
        <v>46055</v>
      </c>
      <c r="E444" t="s">
        <v>27</v>
      </c>
      <c r="F444" t="s">
        <v>1346</v>
      </c>
      <c r="G444" t="s">
        <v>136</v>
      </c>
      <c r="H444" t="s">
        <v>29</v>
      </c>
      <c r="I444">
        <v>5</v>
      </c>
      <c r="J444">
        <v>1922370</v>
      </c>
      <c r="K444">
        <v>35000</v>
      </c>
      <c r="L444" t="s">
        <v>137</v>
      </c>
      <c r="M444" t="s">
        <v>138</v>
      </c>
      <c r="N444" t="s">
        <v>139</v>
      </c>
    </row>
    <row r="445" spans="1:14" x14ac:dyDescent="0.25">
      <c r="A445" t="s">
        <v>887</v>
      </c>
      <c r="B445" t="s">
        <v>479</v>
      </c>
      <c r="C445" t="s">
        <v>164</v>
      </c>
      <c r="D445">
        <v>46037</v>
      </c>
      <c r="E445" t="s">
        <v>27</v>
      </c>
      <c r="F445" t="s">
        <v>160</v>
      </c>
      <c r="G445" t="s">
        <v>173</v>
      </c>
      <c r="H445" t="s">
        <v>29</v>
      </c>
      <c r="I445">
        <v>1</v>
      </c>
      <c r="J445">
        <v>1118958</v>
      </c>
      <c r="K445">
        <v>15000</v>
      </c>
      <c r="L445" t="s">
        <v>137</v>
      </c>
      <c r="M445" t="s">
        <v>161</v>
      </c>
      <c r="N445" t="s">
        <v>156</v>
      </c>
    </row>
    <row r="446" spans="1:14" x14ac:dyDescent="0.25">
      <c r="A446" t="s">
        <v>888</v>
      </c>
      <c r="B446" t="s">
        <v>512</v>
      </c>
      <c r="C446" t="s">
        <v>246</v>
      </c>
      <c r="D446">
        <v>46037</v>
      </c>
      <c r="E446" t="s">
        <v>27</v>
      </c>
      <c r="F446" t="s">
        <v>143</v>
      </c>
      <c r="G446" t="s">
        <v>136</v>
      </c>
      <c r="H446" t="s">
        <v>29</v>
      </c>
      <c r="I446">
        <v>2</v>
      </c>
      <c r="J446">
        <v>651484</v>
      </c>
      <c r="K446">
        <v>35000</v>
      </c>
      <c r="L446" t="s">
        <v>137</v>
      </c>
      <c r="N446" t="s">
        <v>139</v>
      </c>
    </row>
    <row r="447" spans="1:14" x14ac:dyDescent="0.25">
      <c r="A447" t="s">
        <v>889</v>
      </c>
      <c r="B447" t="s">
        <v>890</v>
      </c>
      <c r="C447" t="s">
        <v>446</v>
      </c>
      <c r="D447">
        <v>46191</v>
      </c>
      <c r="E447" t="s">
        <v>31</v>
      </c>
      <c r="F447" t="s">
        <v>1346</v>
      </c>
      <c r="G447" t="s">
        <v>177</v>
      </c>
      <c r="H447" t="s">
        <v>32</v>
      </c>
      <c r="I447">
        <v>1</v>
      </c>
      <c r="J447">
        <v>633283</v>
      </c>
      <c r="K447">
        <v>0</v>
      </c>
      <c r="L447" t="s">
        <v>137</v>
      </c>
      <c r="M447" t="s">
        <v>138</v>
      </c>
      <c r="N447" t="s">
        <v>139</v>
      </c>
    </row>
    <row r="448" spans="1:14" x14ac:dyDescent="0.25">
      <c r="A448" t="s">
        <v>891</v>
      </c>
      <c r="B448" t="s">
        <v>322</v>
      </c>
      <c r="C448" t="s">
        <v>323</v>
      </c>
      <c r="D448">
        <v>46164</v>
      </c>
      <c r="E448" t="s">
        <v>91</v>
      </c>
      <c r="F448" t="s">
        <v>160</v>
      </c>
      <c r="G448" t="s">
        <v>136</v>
      </c>
      <c r="H448" t="s">
        <v>32</v>
      </c>
      <c r="I448">
        <v>5</v>
      </c>
      <c r="J448">
        <v>1347603</v>
      </c>
      <c r="K448">
        <v>15000</v>
      </c>
      <c r="L448" t="s">
        <v>148</v>
      </c>
      <c r="M448" t="s">
        <v>165</v>
      </c>
      <c r="N448" t="s">
        <v>139</v>
      </c>
    </row>
    <row r="449" spans="1:14" x14ac:dyDescent="0.25">
      <c r="A449" t="s">
        <v>892</v>
      </c>
      <c r="B449" t="s">
        <v>151</v>
      </c>
      <c r="C449" t="s">
        <v>152</v>
      </c>
      <c r="D449">
        <v>46043</v>
      </c>
      <c r="E449" t="s">
        <v>18</v>
      </c>
      <c r="F449" t="s">
        <v>160</v>
      </c>
      <c r="G449" t="s">
        <v>136</v>
      </c>
      <c r="H449" t="s">
        <v>29</v>
      </c>
      <c r="I449">
        <v>7</v>
      </c>
      <c r="J449">
        <v>973771</v>
      </c>
      <c r="K449">
        <v>15000</v>
      </c>
      <c r="L449" t="s">
        <v>37</v>
      </c>
      <c r="M449" t="s">
        <v>149</v>
      </c>
      <c r="N449" t="s">
        <v>156</v>
      </c>
    </row>
    <row r="450" spans="1:14" x14ac:dyDescent="0.25">
      <c r="A450" t="s">
        <v>893</v>
      </c>
      <c r="B450" t="s">
        <v>656</v>
      </c>
      <c r="C450" t="s">
        <v>192</v>
      </c>
      <c r="D450">
        <v>46201</v>
      </c>
      <c r="E450" t="s">
        <v>34</v>
      </c>
      <c r="F450" t="s">
        <v>1346</v>
      </c>
      <c r="G450" t="s">
        <v>147</v>
      </c>
      <c r="H450" t="s">
        <v>32</v>
      </c>
      <c r="I450">
        <v>1</v>
      </c>
      <c r="J450" t="s">
        <v>894</v>
      </c>
      <c r="K450">
        <v>35000</v>
      </c>
      <c r="L450" t="s">
        <v>137</v>
      </c>
      <c r="M450" t="s">
        <v>165</v>
      </c>
      <c r="N450" t="s">
        <v>139</v>
      </c>
    </row>
    <row r="451" spans="1:14" x14ac:dyDescent="0.25">
      <c r="A451" t="s">
        <v>895</v>
      </c>
      <c r="B451" t="s">
        <v>813</v>
      </c>
      <c r="C451" t="s">
        <v>226</v>
      </c>
      <c r="D451">
        <v>46044</v>
      </c>
      <c r="E451" t="s">
        <v>31</v>
      </c>
      <c r="F451" t="s">
        <v>28</v>
      </c>
      <c r="G451" t="s">
        <v>39</v>
      </c>
      <c r="H451" t="s">
        <v>20</v>
      </c>
      <c r="I451">
        <v>7</v>
      </c>
      <c r="J451">
        <v>370484</v>
      </c>
      <c r="K451">
        <v>25000</v>
      </c>
      <c r="L451" t="s">
        <v>137</v>
      </c>
      <c r="M451" t="s">
        <v>138</v>
      </c>
      <c r="N451" t="s">
        <v>156</v>
      </c>
    </row>
    <row r="452" spans="1:14" x14ac:dyDescent="0.25">
      <c r="A452" t="s">
        <v>896</v>
      </c>
      <c r="B452" t="s">
        <v>897</v>
      </c>
      <c r="C452" t="s">
        <v>456</v>
      </c>
      <c r="D452">
        <v>46120</v>
      </c>
      <c r="E452" t="s">
        <v>27</v>
      </c>
      <c r="F452" t="s">
        <v>1346</v>
      </c>
      <c r="G452" t="s">
        <v>173</v>
      </c>
      <c r="H452" t="s">
        <v>35</v>
      </c>
      <c r="I452">
        <v>5</v>
      </c>
      <c r="J452">
        <v>893542</v>
      </c>
      <c r="K452">
        <v>35000</v>
      </c>
      <c r="L452" t="s">
        <v>137</v>
      </c>
      <c r="M452" t="s">
        <v>161</v>
      </c>
      <c r="N452" t="s">
        <v>139</v>
      </c>
    </row>
    <row r="453" spans="1:14" x14ac:dyDescent="0.25">
      <c r="A453" t="s">
        <v>898</v>
      </c>
      <c r="B453" t="s">
        <v>872</v>
      </c>
      <c r="C453" t="s">
        <v>284</v>
      </c>
      <c r="D453">
        <v>46090</v>
      </c>
      <c r="E453" t="s">
        <v>31</v>
      </c>
      <c r="F453" t="s">
        <v>160</v>
      </c>
      <c r="G453" t="s">
        <v>173</v>
      </c>
      <c r="H453" t="s">
        <v>35</v>
      </c>
      <c r="I453">
        <v>3</v>
      </c>
      <c r="J453">
        <v>1028251</v>
      </c>
      <c r="K453">
        <v>0</v>
      </c>
      <c r="L453" t="s">
        <v>137</v>
      </c>
      <c r="M453" t="s">
        <v>138</v>
      </c>
      <c r="N453" t="s">
        <v>139</v>
      </c>
    </row>
    <row r="454" spans="1:14" x14ac:dyDescent="0.25">
      <c r="A454" t="s">
        <v>899</v>
      </c>
      <c r="B454" t="s">
        <v>551</v>
      </c>
      <c r="C454" t="s">
        <v>452</v>
      </c>
      <c r="D454">
        <v>46196</v>
      </c>
      <c r="E454" t="s">
        <v>27</v>
      </c>
      <c r="F454" t="s">
        <v>1346</v>
      </c>
      <c r="G454" t="s">
        <v>177</v>
      </c>
      <c r="H454" t="s">
        <v>32</v>
      </c>
      <c r="I454">
        <v>4</v>
      </c>
      <c r="J454">
        <v>1325520</v>
      </c>
      <c r="K454">
        <v>50000</v>
      </c>
      <c r="L454" t="s">
        <v>137</v>
      </c>
      <c r="M454" t="s">
        <v>407</v>
      </c>
      <c r="N454" t="s">
        <v>139</v>
      </c>
    </row>
    <row r="455" spans="1:14" x14ac:dyDescent="0.25">
      <c r="A455" t="s">
        <v>900</v>
      </c>
      <c r="B455" t="s">
        <v>253</v>
      </c>
      <c r="C455" t="s">
        <v>176</v>
      </c>
      <c r="D455">
        <v>46083</v>
      </c>
      <c r="E455" t="s">
        <v>18</v>
      </c>
      <c r="F455" t="s">
        <v>1346</v>
      </c>
      <c r="G455" t="s">
        <v>136</v>
      </c>
      <c r="H455" t="s">
        <v>35</v>
      </c>
      <c r="I455">
        <v>3</v>
      </c>
      <c r="J455">
        <v>673114</v>
      </c>
      <c r="K455">
        <v>0</v>
      </c>
      <c r="L455" t="s">
        <v>148</v>
      </c>
      <c r="M455" t="s">
        <v>138</v>
      </c>
      <c r="N455" t="s">
        <v>139</v>
      </c>
    </row>
    <row r="456" spans="1:14" x14ac:dyDescent="0.25">
      <c r="A456" t="s">
        <v>901</v>
      </c>
      <c r="B456" t="s">
        <v>421</v>
      </c>
      <c r="C456" t="s">
        <v>340</v>
      </c>
      <c r="D456">
        <v>46180</v>
      </c>
      <c r="E456" t="s">
        <v>27</v>
      </c>
      <c r="F456" t="s">
        <v>160</v>
      </c>
      <c r="G456" t="s">
        <v>173</v>
      </c>
      <c r="H456" t="s">
        <v>25</v>
      </c>
      <c r="I456">
        <v>3</v>
      </c>
      <c r="J456">
        <v>1270371</v>
      </c>
      <c r="K456">
        <v>25000</v>
      </c>
      <c r="L456" t="s">
        <v>137</v>
      </c>
      <c r="M456" t="s">
        <v>165</v>
      </c>
      <c r="N456" t="s">
        <v>139</v>
      </c>
    </row>
    <row r="457" spans="1:14" x14ac:dyDescent="0.25">
      <c r="A457" t="s">
        <v>902</v>
      </c>
      <c r="B457" t="s">
        <v>385</v>
      </c>
      <c r="C457" t="s">
        <v>176</v>
      </c>
      <c r="D457">
        <v>46090</v>
      </c>
      <c r="E457" t="s">
        <v>23</v>
      </c>
      <c r="F457" t="s">
        <v>1346</v>
      </c>
      <c r="G457" t="s">
        <v>39</v>
      </c>
      <c r="H457" t="s">
        <v>35</v>
      </c>
      <c r="I457">
        <v>4</v>
      </c>
      <c r="J457">
        <v>869876</v>
      </c>
      <c r="K457">
        <v>35000</v>
      </c>
      <c r="L457" t="s">
        <v>137</v>
      </c>
      <c r="M457" t="s">
        <v>161</v>
      </c>
      <c r="N457" t="s">
        <v>156</v>
      </c>
    </row>
    <row r="458" spans="1:14" x14ac:dyDescent="0.25">
      <c r="A458" t="s">
        <v>903</v>
      </c>
      <c r="B458" t="s">
        <v>599</v>
      </c>
      <c r="C458" t="s">
        <v>22</v>
      </c>
      <c r="D458">
        <v>46037</v>
      </c>
      <c r="E458" t="s">
        <v>31</v>
      </c>
      <c r="F458" t="s">
        <v>143</v>
      </c>
      <c r="G458" t="s">
        <v>136</v>
      </c>
      <c r="H458" t="s">
        <v>25</v>
      </c>
      <c r="I458">
        <v>5</v>
      </c>
      <c r="J458">
        <v>453643</v>
      </c>
      <c r="K458">
        <v>25000</v>
      </c>
      <c r="L458" t="s">
        <v>137</v>
      </c>
      <c r="M458" t="s">
        <v>149</v>
      </c>
      <c r="N458" t="s">
        <v>139</v>
      </c>
    </row>
    <row r="459" spans="1:14" x14ac:dyDescent="0.25">
      <c r="A459" t="s">
        <v>904</v>
      </c>
      <c r="B459" t="s">
        <v>379</v>
      </c>
      <c r="C459" t="s">
        <v>380</v>
      </c>
      <c r="D459">
        <v>46149</v>
      </c>
      <c r="E459" t="s">
        <v>23</v>
      </c>
      <c r="F459" t="s">
        <v>143</v>
      </c>
      <c r="G459" t="s">
        <v>173</v>
      </c>
      <c r="H459" t="s">
        <v>20</v>
      </c>
      <c r="I459">
        <v>6</v>
      </c>
      <c r="J459">
        <v>653609</v>
      </c>
      <c r="K459">
        <v>15000</v>
      </c>
      <c r="L459" t="s">
        <v>214</v>
      </c>
      <c r="M459" t="s">
        <v>165</v>
      </c>
      <c r="N459" t="s">
        <v>156</v>
      </c>
    </row>
    <row r="460" spans="1:14" x14ac:dyDescent="0.25">
      <c r="A460" t="s">
        <v>905</v>
      </c>
      <c r="B460" t="s">
        <v>274</v>
      </c>
      <c r="C460" t="s">
        <v>192</v>
      </c>
      <c r="D460">
        <v>46152</v>
      </c>
      <c r="E460" t="s">
        <v>23</v>
      </c>
      <c r="F460" t="s">
        <v>1346</v>
      </c>
      <c r="G460" t="s">
        <v>136</v>
      </c>
      <c r="H460" t="s">
        <v>20</v>
      </c>
      <c r="I460">
        <v>3</v>
      </c>
      <c r="J460">
        <v>1966789</v>
      </c>
      <c r="K460">
        <v>50000</v>
      </c>
      <c r="L460" t="s">
        <v>137</v>
      </c>
      <c r="M460" t="s">
        <v>138</v>
      </c>
      <c r="N460" t="s">
        <v>139</v>
      </c>
    </row>
    <row r="461" spans="1:14" x14ac:dyDescent="0.25">
      <c r="A461" t="s">
        <v>906</v>
      </c>
      <c r="B461" t="s">
        <v>179</v>
      </c>
      <c r="C461" t="s">
        <v>180</v>
      </c>
      <c r="D461">
        <v>46034</v>
      </c>
      <c r="E461" t="s">
        <v>27</v>
      </c>
      <c r="F461" t="s">
        <v>160</v>
      </c>
      <c r="G461" t="s">
        <v>177</v>
      </c>
      <c r="H461" t="s">
        <v>92</v>
      </c>
      <c r="I461">
        <v>1</v>
      </c>
      <c r="J461">
        <v>1104389</v>
      </c>
      <c r="K461">
        <v>25000</v>
      </c>
      <c r="L461" t="s">
        <v>137</v>
      </c>
      <c r="M461" t="s">
        <v>138</v>
      </c>
      <c r="N461" t="s">
        <v>139</v>
      </c>
    </row>
    <row r="462" spans="1:14" x14ac:dyDescent="0.25">
      <c r="A462" t="s">
        <v>907</v>
      </c>
      <c r="B462" t="s">
        <v>705</v>
      </c>
      <c r="C462" t="s">
        <v>502</v>
      </c>
      <c r="D462">
        <v>46118</v>
      </c>
      <c r="E462" t="s">
        <v>23</v>
      </c>
      <c r="F462" t="s">
        <v>1346</v>
      </c>
      <c r="G462" t="s">
        <v>147</v>
      </c>
      <c r="H462" t="s">
        <v>25</v>
      </c>
      <c r="I462">
        <v>6</v>
      </c>
      <c r="J462">
        <v>1864703</v>
      </c>
      <c r="K462">
        <v>0</v>
      </c>
      <c r="L462" t="s">
        <v>137</v>
      </c>
      <c r="M462" t="s">
        <v>161</v>
      </c>
      <c r="N462" t="s">
        <v>139</v>
      </c>
    </row>
    <row r="463" spans="1:14" x14ac:dyDescent="0.25">
      <c r="A463" t="s">
        <v>908</v>
      </c>
      <c r="B463" t="s">
        <v>599</v>
      </c>
      <c r="C463" t="s">
        <v>22</v>
      </c>
      <c r="D463">
        <v>46189</v>
      </c>
      <c r="E463" t="s">
        <v>23</v>
      </c>
      <c r="F463" t="s">
        <v>1346</v>
      </c>
      <c r="G463" t="s">
        <v>177</v>
      </c>
      <c r="H463" t="s">
        <v>35</v>
      </c>
      <c r="I463">
        <v>3</v>
      </c>
      <c r="J463">
        <v>1691671</v>
      </c>
      <c r="K463">
        <v>35000</v>
      </c>
      <c r="L463" t="s">
        <v>137</v>
      </c>
      <c r="M463" t="s">
        <v>161</v>
      </c>
      <c r="N463" t="s">
        <v>156</v>
      </c>
    </row>
    <row r="464" spans="1:14" x14ac:dyDescent="0.25">
      <c r="A464" t="s">
        <v>909</v>
      </c>
      <c r="B464" t="s">
        <v>910</v>
      </c>
      <c r="C464" t="s">
        <v>911</v>
      </c>
      <c r="D464">
        <v>46178</v>
      </c>
      <c r="E464" t="s">
        <v>27</v>
      </c>
      <c r="F464" t="s">
        <v>1346</v>
      </c>
      <c r="G464" t="s">
        <v>177</v>
      </c>
      <c r="H464" t="s">
        <v>32</v>
      </c>
      <c r="I464">
        <v>5</v>
      </c>
      <c r="J464">
        <v>1007009</v>
      </c>
      <c r="K464">
        <v>25000</v>
      </c>
      <c r="L464" t="s">
        <v>137</v>
      </c>
      <c r="M464" t="s">
        <v>138</v>
      </c>
      <c r="N464" t="s">
        <v>156</v>
      </c>
    </row>
    <row r="465" spans="1:14" x14ac:dyDescent="0.25">
      <c r="A465" t="s">
        <v>912</v>
      </c>
      <c r="B465" t="s">
        <v>506</v>
      </c>
      <c r="C465" t="s">
        <v>189</v>
      </c>
      <c r="D465">
        <v>46061</v>
      </c>
      <c r="E465" t="s">
        <v>27</v>
      </c>
      <c r="F465" t="s">
        <v>28</v>
      </c>
      <c r="G465" t="s">
        <v>147</v>
      </c>
      <c r="H465" t="s">
        <v>20</v>
      </c>
      <c r="I465">
        <v>1</v>
      </c>
      <c r="J465">
        <v>1718405</v>
      </c>
      <c r="K465">
        <v>0</v>
      </c>
      <c r="L465" t="s">
        <v>37</v>
      </c>
      <c r="M465" t="s">
        <v>165</v>
      </c>
      <c r="N465" t="s">
        <v>156</v>
      </c>
    </row>
    <row r="466" spans="1:14" x14ac:dyDescent="0.25">
      <c r="A466" t="s">
        <v>913</v>
      </c>
      <c r="B466" t="s">
        <v>622</v>
      </c>
      <c r="C466" t="s">
        <v>623</v>
      </c>
      <c r="D466">
        <v>46143</v>
      </c>
      <c r="E466" t="s">
        <v>27</v>
      </c>
      <c r="F466" t="s">
        <v>1346</v>
      </c>
      <c r="G466" t="s">
        <v>177</v>
      </c>
      <c r="H466" t="s">
        <v>25</v>
      </c>
      <c r="I466">
        <v>4</v>
      </c>
      <c r="J466">
        <v>2319694</v>
      </c>
      <c r="K466">
        <v>50000</v>
      </c>
      <c r="L466" t="s">
        <v>137</v>
      </c>
      <c r="M466" t="s">
        <v>161</v>
      </c>
      <c r="N466" t="s">
        <v>156</v>
      </c>
    </row>
    <row r="467" spans="1:14" x14ac:dyDescent="0.25">
      <c r="A467" t="s">
        <v>914</v>
      </c>
      <c r="B467" t="s">
        <v>389</v>
      </c>
      <c r="C467" t="s">
        <v>146</v>
      </c>
      <c r="D467">
        <v>46115</v>
      </c>
      <c r="E467" t="s">
        <v>18</v>
      </c>
      <c r="F467" t="s">
        <v>28</v>
      </c>
      <c r="G467" t="s">
        <v>1370</v>
      </c>
      <c r="H467" t="s">
        <v>32</v>
      </c>
      <c r="I467">
        <v>3</v>
      </c>
      <c r="J467">
        <v>1088425</v>
      </c>
      <c r="K467">
        <v>35000</v>
      </c>
      <c r="L467" t="s">
        <v>137</v>
      </c>
      <c r="M467" t="s">
        <v>161</v>
      </c>
      <c r="N467" t="s">
        <v>139</v>
      </c>
    </row>
    <row r="468" spans="1:14" x14ac:dyDescent="0.25">
      <c r="A468" t="s">
        <v>915</v>
      </c>
      <c r="B468" t="s">
        <v>739</v>
      </c>
      <c r="C468" t="s">
        <v>192</v>
      </c>
      <c r="D468">
        <v>46113</v>
      </c>
      <c r="E468" t="s">
        <v>27</v>
      </c>
      <c r="F468" t="s">
        <v>143</v>
      </c>
      <c r="G468" t="s">
        <v>39</v>
      </c>
      <c r="H468" t="s">
        <v>32</v>
      </c>
      <c r="I468">
        <v>1</v>
      </c>
      <c r="K468">
        <v>50000</v>
      </c>
      <c r="L468" t="s">
        <v>43</v>
      </c>
      <c r="M468" t="s">
        <v>138</v>
      </c>
      <c r="N468" t="s">
        <v>156</v>
      </c>
    </row>
    <row r="469" spans="1:14" x14ac:dyDescent="0.25">
      <c r="A469" t="s">
        <v>916</v>
      </c>
      <c r="B469" t="s">
        <v>475</v>
      </c>
      <c r="C469" t="s">
        <v>213</v>
      </c>
      <c r="D469">
        <v>46055</v>
      </c>
      <c r="E469" t="s">
        <v>18</v>
      </c>
      <c r="F469" t="s">
        <v>1346</v>
      </c>
      <c r="G469" t="s">
        <v>136</v>
      </c>
      <c r="H469" t="s">
        <v>25</v>
      </c>
      <c r="I469">
        <v>7</v>
      </c>
      <c r="J469">
        <v>2374924</v>
      </c>
      <c r="K469">
        <v>15000</v>
      </c>
      <c r="L469" t="s">
        <v>43</v>
      </c>
      <c r="M469" t="s">
        <v>390</v>
      </c>
      <c r="N469" t="s">
        <v>139</v>
      </c>
    </row>
    <row r="470" spans="1:14" x14ac:dyDescent="0.25">
      <c r="A470" t="s">
        <v>917</v>
      </c>
      <c r="B470" t="s">
        <v>235</v>
      </c>
      <c r="C470" t="s">
        <v>142</v>
      </c>
      <c r="D470">
        <v>46043</v>
      </c>
      <c r="E470" t="s">
        <v>18</v>
      </c>
      <c r="F470" t="s">
        <v>143</v>
      </c>
      <c r="G470" t="s">
        <v>39</v>
      </c>
      <c r="H470" t="s">
        <v>20</v>
      </c>
      <c r="I470">
        <v>5</v>
      </c>
      <c r="J470">
        <v>1833384</v>
      </c>
      <c r="K470">
        <v>35000</v>
      </c>
      <c r="L470" t="s">
        <v>37</v>
      </c>
      <c r="M470" t="s">
        <v>165</v>
      </c>
      <c r="N470" t="s">
        <v>156</v>
      </c>
    </row>
    <row r="471" spans="1:14" x14ac:dyDescent="0.25">
      <c r="A471" t="s">
        <v>918</v>
      </c>
      <c r="B471" t="s">
        <v>235</v>
      </c>
      <c r="C471" t="s">
        <v>142</v>
      </c>
      <c r="D471">
        <v>46130</v>
      </c>
      <c r="E471" t="s">
        <v>18</v>
      </c>
      <c r="F471" t="s">
        <v>1352</v>
      </c>
      <c r="G471" t="s">
        <v>39</v>
      </c>
      <c r="H471" t="s">
        <v>20</v>
      </c>
      <c r="I471">
        <v>6</v>
      </c>
      <c r="J471">
        <v>1224679</v>
      </c>
      <c r="K471">
        <v>50000</v>
      </c>
      <c r="L471" t="s">
        <v>43</v>
      </c>
      <c r="M471" t="s">
        <v>138</v>
      </c>
      <c r="N471" t="s">
        <v>156</v>
      </c>
    </row>
    <row r="472" spans="1:14" x14ac:dyDescent="0.25">
      <c r="A472" t="s">
        <v>919</v>
      </c>
      <c r="B472" t="s">
        <v>515</v>
      </c>
      <c r="C472" t="s">
        <v>334</v>
      </c>
      <c r="D472" t="s">
        <v>1362</v>
      </c>
      <c r="E472" t="s">
        <v>89</v>
      </c>
      <c r="F472" t="s">
        <v>143</v>
      </c>
      <c r="G472" t="s">
        <v>169</v>
      </c>
      <c r="H472" t="s">
        <v>25</v>
      </c>
      <c r="I472">
        <v>4</v>
      </c>
      <c r="J472">
        <v>2279634</v>
      </c>
      <c r="K472">
        <v>50000</v>
      </c>
      <c r="L472" t="s">
        <v>43</v>
      </c>
      <c r="M472" t="s">
        <v>138</v>
      </c>
      <c r="N472" t="s">
        <v>156</v>
      </c>
    </row>
    <row r="473" spans="1:14" x14ac:dyDescent="0.25">
      <c r="A473" t="s">
        <v>920</v>
      </c>
      <c r="B473" t="s">
        <v>881</v>
      </c>
      <c r="C473" t="s">
        <v>159</v>
      </c>
      <c r="D473">
        <v>46109</v>
      </c>
      <c r="E473" t="s">
        <v>31</v>
      </c>
      <c r="F473" t="s">
        <v>28</v>
      </c>
      <c r="G473" t="s">
        <v>169</v>
      </c>
      <c r="H473" t="s">
        <v>32</v>
      </c>
      <c r="I473">
        <v>1</v>
      </c>
      <c r="J473">
        <v>572027</v>
      </c>
      <c r="K473">
        <v>0</v>
      </c>
      <c r="L473" t="s">
        <v>137</v>
      </c>
      <c r="M473" t="s">
        <v>138</v>
      </c>
      <c r="N473" t="s">
        <v>139</v>
      </c>
    </row>
    <row r="474" spans="1:14" x14ac:dyDescent="0.25">
      <c r="A474" t="s">
        <v>921</v>
      </c>
      <c r="B474" t="s">
        <v>401</v>
      </c>
      <c r="C474" t="s">
        <v>189</v>
      </c>
      <c r="D474" t="s">
        <v>1388</v>
      </c>
      <c r="E474" t="s">
        <v>27</v>
      </c>
      <c r="F474" t="s">
        <v>160</v>
      </c>
      <c r="G474" t="s">
        <v>177</v>
      </c>
      <c r="H474" t="s">
        <v>20</v>
      </c>
      <c r="I474">
        <v>6</v>
      </c>
      <c r="J474">
        <v>684576</v>
      </c>
      <c r="K474">
        <v>15000</v>
      </c>
      <c r="L474" t="s">
        <v>262</v>
      </c>
      <c r="M474" t="s">
        <v>165</v>
      </c>
      <c r="N474" t="s">
        <v>139</v>
      </c>
    </row>
    <row r="475" spans="1:14" x14ac:dyDescent="0.25">
      <c r="A475" t="s">
        <v>922</v>
      </c>
      <c r="B475" t="s">
        <v>672</v>
      </c>
      <c r="C475" t="s">
        <v>452</v>
      </c>
      <c r="D475">
        <v>46189</v>
      </c>
      <c r="E475" t="s">
        <v>27</v>
      </c>
      <c r="F475" t="s">
        <v>1346</v>
      </c>
      <c r="G475" t="s">
        <v>173</v>
      </c>
      <c r="H475" t="s">
        <v>29</v>
      </c>
      <c r="I475">
        <v>3</v>
      </c>
      <c r="J475">
        <v>2022230</v>
      </c>
      <c r="K475">
        <v>35000</v>
      </c>
      <c r="L475" t="s">
        <v>137</v>
      </c>
      <c r="M475" t="s">
        <v>138</v>
      </c>
      <c r="N475" t="s">
        <v>139</v>
      </c>
    </row>
    <row r="476" spans="1:14" x14ac:dyDescent="0.25">
      <c r="A476" t="s">
        <v>923</v>
      </c>
      <c r="B476" t="s">
        <v>271</v>
      </c>
      <c r="C476" t="s">
        <v>272</v>
      </c>
      <c r="D476">
        <v>46110</v>
      </c>
      <c r="E476" t="s">
        <v>31</v>
      </c>
      <c r="F476" t="s">
        <v>1346</v>
      </c>
      <c r="G476" t="s">
        <v>136</v>
      </c>
      <c r="H476" t="s">
        <v>90</v>
      </c>
      <c r="I476">
        <v>5</v>
      </c>
      <c r="J476">
        <v>322534</v>
      </c>
      <c r="K476">
        <v>50000</v>
      </c>
      <c r="L476" t="s">
        <v>148</v>
      </c>
      <c r="M476" t="s">
        <v>149</v>
      </c>
      <c r="N476" t="s">
        <v>139</v>
      </c>
    </row>
    <row r="477" spans="1:14" x14ac:dyDescent="0.25">
      <c r="A477" t="s">
        <v>924</v>
      </c>
      <c r="B477" t="s">
        <v>925</v>
      </c>
      <c r="C477" t="s">
        <v>258</v>
      </c>
      <c r="D477">
        <v>46068</v>
      </c>
      <c r="E477" t="s">
        <v>18</v>
      </c>
      <c r="F477" t="s">
        <v>28</v>
      </c>
      <c r="G477" t="s">
        <v>147</v>
      </c>
      <c r="H477" t="s">
        <v>25</v>
      </c>
      <c r="I477">
        <v>7</v>
      </c>
      <c r="J477">
        <v>720609</v>
      </c>
      <c r="K477">
        <v>0</v>
      </c>
      <c r="L477" t="s">
        <v>43</v>
      </c>
      <c r="M477" t="s">
        <v>165</v>
      </c>
      <c r="N477" t="s">
        <v>139</v>
      </c>
    </row>
    <row r="478" spans="1:14" x14ac:dyDescent="0.25">
      <c r="A478" t="s">
        <v>926</v>
      </c>
      <c r="B478" t="s">
        <v>286</v>
      </c>
      <c r="C478" t="s">
        <v>287</v>
      </c>
      <c r="D478">
        <v>46111</v>
      </c>
      <c r="E478" t="s">
        <v>18</v>
      </c>
      <c r="F478" t="s">
        <v>143</v>
      </c>
      <c r="G478" t="s">
        <v>136</v>
      </c>
      <c r="H478" t="s">
        <v>25</v>
      </c>
      <c r="I478">
        <v>1</v>
      </c>
      <c r="J478">
        <v>1314499</v>
      </c>
      <c r="K478">
        <v>15000</v>
      </c>
      <c r="L478" t="s">
        <v>137</v>
      </c>
      <c r="M478" t="s">
        <v>138</v>
      </c>
      <c r="N478" t="s">
        <v>156</v>
      </c>
    </row>
    <row r="479" spans="1:14" x14ac:dyDescent="0.25">
      <c r="A479" t="s">
        <v>927</v>
      </c>
      <c r="B479" t="s">
        <v>872</v>
      </c>
      <c r="C479" t="s">
        <v>1389</v>
      </c>
      <c r="D479">
        <v>46082</v>
      </c>
      <c r="E479" t="s">
        <v>18</v>
      </c>
      <c r="F479" t="s">
        <v>160</v>
      </c>
      <c r="G479" t="s">
        <v>147</v>
      </c>
      <c r="H479" t="s">
        <v>20</v>
      </c>
      <c r="I479">
        <v>1</v>
      </c>
      <c r="J479">
        <v>1288653</v>
      </c>
      <c r="K479">
        <v>15000</v>
      </c>
      <c r="L479" t="s">
        <v>137</v>
      </c>
      <c r="M479" t="s">
        <v>165</v>
      </c>
      <c r="N479" t="s">
        <v>156</v>
      </c>
    </row>
    <row r="480" spans="1:14" x14ac:dyDescent="0.25">
      <c r="A480" t="s">
        <v>928</v>
      </c>
      <c r="B480" t="s">
        <v>207</v>
      </c>
      <c r="C480" t="s">
        <v>168</v>
      </c>
      <c r="D480">
        <v>46148</v>
      </c>
      <c r="E480" t="s">
        <v>31</v>
      </c>
      <c r="F480" t="s">
        <v>28</v>
      </c>
      <c r="G480" t="s">
        <v>147</v>
      </c>
      <c r="H480" t="s">
        <v>29</v>
      </c>
      <c r="I480">
        <v>2</v>
      </c>
      <c r="J480">
        <v>228117</v>
      </c>
      <c r="K480">
        <v>25000</v>
      </c>
      <c r="L480" t="s">
        <v>137</v>
      </c>
      <c r="M480" t="s">
        <v>149</v>
      </c>
      <c r="N480" t="s">
        <v>139</v>
      </c>
    </row>
    <row r="481" spans="1:14" x14ac:dyDescent="0.25">
      <c r="A481" t="s">
        <v>929</v>
      </c>
      <c r="B481" t="s">
        <v>403</v>
      </c>
      <c r="C481" t="s">
        <v>404</v>
      </c>
      <c r="D481">
        <v>46051</v>
      </c>
      <c r="E481" t="s">
        <v>18</v>
      </c>
      <c r="F481" t="s">
        <v>1346</v>
      </c>
      <c r="G481" t="s">
        <v>169</v>
      </c>
      <c r="H481" t="s">
        <v>20</v>
      </c>
      <c r="I481">
        <v>4</v>
      </c>
      <c r="J481">
        <v>623067</v>
      </c>
      <c r="K481">
        <v>35000</v>
      </c>
      <c r="L481" t="s">
        <v>137</v>
      </c>
      <c r="M481" t="s">
        <v>161</v>
      </c>
      <c r="N481" t="s">
        <v>139</v>
      </c>
    </row>
    <row r="482" spans="1:14" x14ac:dyDescent="0.25">
      <c r="A482" t="s">
        <v>930</v>
      </c>
      <c r="B482" t="s">
        <v>746</v>
      </c>
      <c r="C482" t="s">
        <v>192</v>
      </c>
      <c r="D482">
        <v>46043</v>
      </c>
      <c r="E482" t="s">
        <v>31</v>
      </c>
      <c r="F482" t="s">
        <v>160</v>
      </c>
      <c r="G482" t="s">
        <v>1368</v>
      </c>
      <c r="H482" t="s">
        <v>25</v>
      </c>
      <c r="I482">
        <v>3</v>
      </c>
      <c r="J482">
        <v>1052988</v>
      </c>
      <c r="K482">
        <v>0</v>
      </c>
      <c r="L482" t="s">
        <v>137</v>
      </c>
      <c r="M482" t="s">
        <v>161</v>
      </c>
      <c r="N482" t="s">
        <v>156</v>
      </c>
    </row>
    <row r="483" spans="1:14" x14ac:dyDescent="0.25">
      <c r="A483" t="s">
        <v>931</v>
      </c>
      <c r="B483" t="s">
        <v>509</v>
      </c>
      <c r="C483" t="s">
        <v>297</v>
      </c>
      <c r="D483">
        <v>46048</v>
      </c>
      <c r="E483" t="s">
        <v>23</v>
      </c>
      <c r="F483" t="s">
        <v>160</v>
      </c>
      <c r="G483" t="s">
        <v>177</v>
      </c>
      <c r="H483" t="s">
        <v>29</v>
      </c>
      <c r="I483">
        <v>2</v>
      </c>
      <c r="J483">
        <v>2306477</v>
      </c>
      <c r="K483">
        <v>25000</v>
      </c>
      <c r="L483" t="s">
        <v>148</v>
      </c>
      <c r="M483" t="s">
        <v>149</v>
      </c>
      <c r="N483" t="s">
        <v>139</v>
      </c>
    </row>
    <row r="484" spans="1:14" x14ac:dyDescent="0.25">
      <c r="A484" t="s">
        <v>932</v>
      </c>
      <c r="B484" t="s">
        <v>356</v>
      </c>
      <c r="C484" t="s">
        <v>357</v>
      </c>
      <c r="D484">
        <v>46079</v>
      </c>
      <c r="E484" t="s">
        <v>31</v>
      </c>
      <c r="F484" t="s">
        <v>1346</v>
      </c>
      <c r="G484" t="s">
        <v>177</v>
      </c>
      <c r="H484" t="s">
        <v>29</v>
      </c>
      <c r="I484">
        <v>4</v>
      </c>
      <c r="J484">
        <v>940734</v>
      </c>
      <c r="K484">
        <v>25000</v>
      </c>
      <c r="L484" t="s">
        <v>137</v>
      </c>
      <c r="M484" t="s">
        <v>165</v>
      </c>
      <c r="N484" t="s">
        <v>156</v>
      </c>
    </row>
    <row r="485" spans="1:14" x14ac:dyDescent="0.25">
      <c r="A485" t="s">
        <v>933</v>
      </c>
      <c r="B485" t="s">
        <v>934</v>
      </c>
      <c r="C485" t="s">
        <v>380</v>
      </c>
      <c r="D485">
        <v>46077</v>
      </c>
      <c r="E485" t="s">
        <v>87</v>
      </c>
      <c r="F485" t="s">
        <v>160</v>
      </c>
      <c r="G485" t="s">
        <v>39</v>
      </c>
      <c r="H485" t="s">
        <v>25</v>
      </c>
      <c r="I485">
        <v>1</v>
      </c>
      <c r="J485">
        <v>133412</v>
      </c>
      <c r="K485">
        <v>35000</v>
      </c>
      <c r="L485" t="s">
        <v>137</v>
      </c>
      <c r="M485" t="s">
        <v>138</v>
      </c>
      <c r="N485" t="s">
        <v>139</v>
      </c>
    </row>
    <row r="486" spans="1:14" x14ac:dyDescent="0.25">
      <c r="A486" t="s">
        <v>935</v>
      </c>
      <c r="B486" t="s">
        <v>434</v>
      </c>
      <c r="C486" t="s">
        <v>435</v>
      </c>
      <c r="D486">
        <v>46172</v>
      </c>
      <c r="E486" t="s">
        <v>34</v>
      </c>
      <c r="F486" t="s">
        <v>1390</v>
      </c>
      <c r="G486" t="s">
        <v>136</v>
      </c>
      <c r="H486" t="s">
        <v>32</v>
      </c>
      <c r="I486">
        <v>4</v>
      </c>
      <c r="J486">
        <v>1104469</v>
      </c>
      <c r="K486">
        <v>25000</v>
      </c>
      <c r="L486" t="s">
        <v>137</v>
      </c>
      <c r="M486" t="s">
        <v>149</v>
      </c>
      <c r="N486" t="s">
        <v>139</v>
      </c>
    </row>
    <row r="487" spans="1:14" x14ac:dyDescent="0.25">
      <c r="A487" t="s">
        <v>936</v>
      </c>
      <c r="B487" t="s">
        <v>519</v>
      </c>
      <c r="C487" t="s">
        <v>240</v>
      </c>
      <c r="D487">
        <v>46184</v>
      </c>
      <c r="E487" t="s">
        <v>18</v>
      </c>
      <c r="F487" t="s">
        <v>160</v>
      </c>
      <c r="G487" t="s">
        <v>136</v>
      </c>
      <c r="H487" t="s">
        <v>32</v>
      </c>
      <c r="I487">
        <v>3</v>
      </c>
      <c r="J487">
        <v>1765048</v>
      </c>
      <c r="K487">
        <v>50000</v>
      </c>
      <c r="L487" t="s">
        <v>137</v>
      </c>
      <c r="M487" t="s">
        <v>161</v>
      </c>
      <c r="N487" t="s">
        <v>139</v>
      </c>
    </row>
    <row r="488" spans="1:14" x14ac:dyDescent="0.25">
      <c r="A488" t="s">
        <v>937</v>
      </c>
      <c r="B488" t="s">
        <v>650</v>
      </c>
      <c r="C488" t="s">
        <v>435</v>
      </c>
      <c r="D488">
        <v>46086</v>
      </c>
      <c r="E488" t="s">
        <v>23</v>
      </c>
      <c r="F488" t="s">
        <v>1346</v>
      </c>
      <c r="G488" t="s">
        <v>169</v>
      </c>
      <c r="H488" t="s">
        <v>32</v>
      </c>
      <c r="I488">
        <v>2</v>
      </c>
      <c r="J488">
        <v>1902014</v>
      </c>
      <c r="K488">
        <v>0</v>
      </c>
      <c r="L488" t="s">
        <v>137</v>
      </c>
      <c r="M488" t="s">
        <v>161</v>
      </c>
      <c r="N488" t="s">
        <v>156</v>
      </c>
    </row>
    <row r="489" spans="1:14" x14ac:dyDescent="0.25">
      <c r="A489" t="s">
        <v>938</v>
      </c>
      <c r="B489" t="s">
        <v>939</v>
      </c>
      <c r="C489" t="s">
        <v>261</v>
      </c>
      <c r="D489">
        <v>46146</v>
      </c>
      <c r="E489" t="s">
        <v>34</v>
      </c>
      <c r="F489" t="s">
        <v>143</v>
      </c>
      <c r="G489" t="s">
        <v>39</v>
      </c>
      <c r="H489" t="s">
        <v>20</v>
      </c>
      <c r="I489">
        <v>4</v>
      </c>
      <c r="J489">
        <v>2171746</v>
      </c>
      <c r="K489">
        <v>50000</v>
      </c>
      <c r="L489" t="s">
        <v>137</v>
      </c>
      <c r="M489" t="s">
        <v>161</v>
      </c>
      <c r="N489" t="s">
        <v>139</v>
      </c>
    </row>
    <row r="490" spans="1:14" x14ac:dyDescent="0.25">
      <c r="A490" t="s">
        <v>940</v>
      </c>
      <c r="B490" t="s">
        <v>941</v>
      </c>
      <c r="C490" t="s">
        <v>281</v>
      </c>
      <c r="D490">
        <v>46195</v>
      </c>
      <c r="E490" t="s">
        <v>23</v>
      </c>
      <c r="F490" t="s">
        <v>1346</v>
      </c>
      <c r="G490" t="s">
        <v>39</v>
      </c>
      <c r="H490" t="s">
        <v>29</v>
      </c>
      <c r="I490">
        <v>4</v>
      </c>
      <c r="J490">
        <v>1452187</v>
      </c>
      <c r="K490">
        <v>35000</v>
      </c>
      <c r="L490" t="s">
        <v>148</v>
      </c>
      <c r="M490" t="s">
        <v>138</v>
      </c>
      <c r="N490" t="s">
        <v>139</v>
      </c>
    </row>
    <row r="491" spans="1:14" x14ac:dyDescent="0.25">
      <c r="A491" t="s">
        <v>942</v>
      </c>
      <c r="B491" t="s">
        <v>943</v>
      </c>
      <c r="C491" t="s">
        <v>435</v>
      </c>
      <c r="D491">
        <v>46034</v>
      </c>
      <c r="E491" t="s">
        <v>27</v>
      </c>
      <c r="F491" t="s">
        <v>143</v>
      </c>
      <c r="G491" t="s">
        <v>169</v>
      </c>
      <c r="H491" t="s">
        <v>20</v>
      </c>
      <c r="J491" t="s">
        <v>944</v>
      </c>
      <c r="K491">
        <v>35000</v>
      </c>
      <c r="L491" t="s">
        <v>137</v>
      </c>
      <c r="M491" t="s">
        <v>165</v>
      </c>
      <c r="N491" t="s">
        <v>139</v>
      </c>
    </row>
    <row r="492" spans="1:14" x14ac:dyDescent="0.25">
      <c r="A492" t="s">
        <v>945</v>
      </c>
      <c r="B492" t="s">
        <v>869</v>
      </c>
      <c r="C492" t="s">
        <v>446</v>
      </c>
      <c r="D492">
        <v>46177</v>
      </c>
      <c r="E492" t="s">
        <v>34</v>
      </c>
      <c r="F492" t="s">
        <v>1346</v>
      </c>
      <c r="G492" t="s">
        <v>147</v>
      </c>
      <c r="H492" t="s">
        <v>20</v>
      </c>
      <c r="I492">
        <v>6</v>
      </c>
      <c r="J492">
        <v>2383948</v>
      </c>
      <c r="K492">
        <v>0</v>
      </c>
      <c r="L492" t="s">
        <v>137</v>
      </c>
      <c r="M492" t="s">
        <v>138</v>
      </c>
      <c r="N492" t="s">
        <v>156</v>
      </c>
    </row>
    <row r="493" spans="1:14" x14ac:dyDescent="0.25">
      <c r="A493" t="s">
        <v>946</v>
      </c>
      <c r="B493" t="s">
        <v>934</v>
      </c>
      <c r="C493" t="s">
        <v>380</v>
      </c>
      <c r="D493">
        <v>46076</v>
      </c>
      <c r="E493" t="s">
        <v>18</v>
      </c>
      <c r="F493" t="s">
        <v>1346</v>
      </c>
      <c r="G493" t="s">
        <v>177</v>
      </c>
      <c r="H493" t="s">
        <v>25</v>
      </c>
      <c r="I493">
        <v>2</v>
      </c>
      <c r="J493">
        <v>1638748</v>
      </c>
      <c r="K493">
        <v>50000</v>
      </c>
      <c r="L493" t="s">
        <v>37</v>
      </c>
      <c r="M493" t="s">
        <v>165</v>
      </c>
      <c r="N493" t="s">
        <v>139</v>
      </c>
    </row>
    <row r="494" spans="1:14" x14ac:dyDescent="0.25">
      <c r="A494" t="s">
        <v>947</v>
      </c>
      <c r="B494" t="s">
        <v>191</v>
      </c>
      <c r="C494" t="s">
        <v>1391</v>
      </c>
      <c r="D494">
        <v>46078</v>
      </c>
      <c r="E494" t="s">
        <v>27</v>
      </c>
      <c r="F494" t="s">
        <v>160</v>
      </c>
      <c r="G494" t="s">
        <v>147</v>
      </c>
      <c r="H494" t="s">
        <v>32</v>
      </c>
      <c r="I494">
        <v>1</v>
      </c>
      <c r="J494">
        <v>2439245</v>
      </c>
      <c r="K494">
        <v>15000</v>
      </c>
      <c r="L494" t="s">
        <v>137</v>
      </c>
      <c r="M494" t="s">
        <v>161</v>
      </c>
      <c r="N494" t="s">
        <v>139</v>
      </c>
    </row>
    <row r="495" spans="1:14" x14ac:dyDescent="0.25">
      <c r="A495" t="s">
        <v>948</v>
      </c>
      <c r="B495" t="s">
        <v>398</v>
      </c>
      <c r="C495" t="s">
        <v>399</v>
      </c>
      <c r="D495">
        <v>46063</v>
      </c>
      <c r="E495" t="s">
        <v>18</v>
      </c>
      <c r="F495" t="s">
        <v>160</v>
      </c>
      <c r="G495" t="s">
        <v>136</v>
      </c>
      <c r="H495" t="s">
        <v>20</v>
      </c>
      <c r="I495">
        <v>1</v>
      </c>
      <c r="J495">
        <v>1307364</v>
      </c>
      <c r="K495">
        <v>25000</v>
      </c>
      <c r="L495" t="s">
        <v>137</v>
      </c>
      <c r="M495" t="s">
        <v>165</v>
      </c>
      <c r="N495" t="s">
        <v>139</v>
      </c>
    </row>
    <row r="496" spans="1:14" x14ac:dyDescent="0.25">
      <c r="A496" t="s">
        <v>949</v>
      </c>
      <c r="B496" t="s">
        <v>642</v>
      </c>
      <c r="C496" t="s">
        <v>272</v>
      </c>
      <c r="D496">
        <v>46125</v>
      </c>
      <c r="E496" t="s">
        <v>31</v>
      </c>
      <c r="F496" t="s">
        <v>160</v>
      </c>
      <c r="G496" t="s">
        <v>173</v>
      </c>
      <c r="H496" t="s">
        <v>35</v>
      </c>
      <c r="I496">
        <v>7</v>
      </c>
      <c r="J496">
        <v>670264</v>
      </c>
      <c r="K496">
        <v>25000</v>
      </c>
      <c r="L496" t="s">
        <v>137</v>
      </c>
      <c r="M496" t="s">
        <v>161</v>
      </c>
      <c r="N496" t="s">
        <v>156</v>
      </c>
    </row>
    <row r="497" spans="1:14" x14ac:dyDescent="0.25">
      <c r="A497" t="s">
        <v>950</v>
      </c>
      <c r="B497" t="s">
        <v>951</v>
      </c>
      <c r="C497" t="s">
        <v>762</v>
      </c>
      <c r="D497">
        <v>46173</v>
      </c>
      <c r="E497" t="s">
        <v>34</v>
      </c>
      <c r="F497" t="s">
        <v>28</v>
      </c>
      <c r="G497" t="s">
        <v>147</v>
      </c>
      <c r="H497" t="s">
        <v>20</v>
      </c>
      <c r="I497">
        <v>7</v>
      </c>
      <c r="J497">
        <v>1760492</v>
      </c>
      <c r="K497">
        <v>15000</v>
      </c>
      <c r="L497" t="s">
        <v>137</v>
      </c>
      <c r="M497" t="s">
        <v>199</v>
      </c>
      <c r="N497" t="s">
        <v>139</v>
      </c>
    </row>
    <row r="498" spans="1:14" x14ac:dyDescent="0.25">
      <c r="A498" t="s">
        <v>952</v>
      </c>
      <c r="B498" t="s">
        <v>182</v>
      </c>
      <c r="C498" t="s">
        <v>183</v>
      </c>
      <c r="D498">
        <v>46140</v>
      </c>
      <c r="E498" t="s">
        <v>31</v>
      </c>
      <c r="F498" t="s">
        <v>160</v>
      </c>
      <c r="G498" t="s">
        <v>177</v>
      </c>
      <c r="H498" t="s">
        <v>32</v>
      </c>
      <c r="I498">
        <v>3</v>
      </c>
      <c r="J498">
        <v>970045</v>
      </c>
      <c r="K498">
        <v>0</v>
      </c>
      <c r="L498" t="s">
        <v>37</v>
      </c>
      <c r="M498" t="s">
        <v>165</v>
      </c>
      <c r="N498" t="s">
        <v>139</v>
      </c>
    </row>
    <row r="499" spans="1:14" x14ac:dyDescent="0.25">
      <c r="A499" t="s">
        <v>953</v>
      </c>
      <c r="B499" t="s">
        <v>530</v>
      </c>
      <c r="C499" t="s">
        <v>399</v>
      </c>
      <c r="D499">
        <v>46095</v>
      </c>
      <c r="E499" t="s">
        <v>31</v>
      </c>
      <c r="F499" t="s">
        <v>1346</v>
      </c>
      <c r="G499" t="s">
        <v>147</v>
      </c>
      <c r="H499" t="s">
        <v>20</v>
      </c>
      <c r="I499">
        <v>2</v>
      </c>
      <c r="J499">
        <v>2356419</v>
      </c>
      <c r="K499">
        <v>50000</v>
      </c>
      <c r="L499" t="s">
        <v>137</v>
      </c>
      <c r="M499" t="s">
        <v>149</v>
      </c>
      <c r="N499" t="s">
        <v>139</v>
      </c>
    </row>
    <row r="500" spans="1:14" x14ac:dyDescent="0.25">
      <c r="A500" t="s">
        <v>954</v>
      </c>
      <c r="B500" t="s">
        <v>722</v>
      </c>
      <c r="C500" t="s">
        <v>172</v>
      </c>
      <c r="E500" t="s">
        <v>27</v>
      </c>
      <c r="F500" t="s">
        <v>160</v>
      </c>
      <c r="G500" t="s">
        <v>169</v>
      </c>
      <c r="H500" t="s">
        <v>25</v>
      </c>
      <c r="I500">
        <v>7</v>
      </c>
      <c r="J500">
        <v>224404</v>
      </c>
      <c r="K500">
        <v>35000</v>
      </c>
      <c r="L500" t="s">
        <v>137</v>
      </c>
      <c r="M500" t="s">
        <v>138</v>
      </c>
      <c r="N500" t="s">
        <v>139</v>
      </c>
    </row>
    <row r="501" spans="1:14" x14ac:dyDescent="0.25">
      <c r="A501" t="s">
        <v>955</v>
      </c>
      <c r="B501" t="s">
        <v>225</v>
      </c>
      <c r="C501" t="s">
        <v>226</v>
      </c>
      <c r="D501">
        <v>46184</v>
      </c>
      <c r="E501" t="s">
        <v>31</v>
      </c>
      <c r="F501" t="s">
        <v>143</v>
      </c>
      <c r="G501" t="s">
        <v>173</v>
      </c>
      <c r="H501" t="s">
        <v>29</v>
      </c>
      <c r="I501">
        <v>5</v>
      </c>
      <c r="J501">
        <v>470788</v>
      </c>
      <c r="K501">
        <v>0</v>
      </c>
      <c r="L501" t="s">
        <v>137</v>
      </c>
      <c r="M501" t="s">
        <v>165</v>
      </c>
      <c r="N501" t="s">
        <v>139</v>
      </c>
    </row>
    <row r="502" spans="1:14" x14ac:dyDescent="0.25">
      <c r="A502" t="s">
        <v>956</v>
      </c>
      <c r="B502" t="s">
        <v>777</v>
      </c>
      <c r="C502" t="s">
        <v>246</v>
      </c>
      <c r="D502">
        <v>46144</v>
      </c>
      <c r="E502" t="s">
        <v>34</v>
      </c>
      <c r="F502" t="s">
        <v>28</v>
      </c>
      <c r="G502" t="s">
        <v>136</v>
      </c>
      <c r="H502" t="s">
        <v>25</v>
      </c>
      <c r="I502">
        <v>7</v>
      </c>
      <c r="J502">
        <v>2315322</v>
      </c>
      <c r="K502">
        <v>50000</v>
      </c>
      <c r="L502" t="s">
        <v>214</v>
      </c>
      <c r="M502" t="s">
        <v>138</v>
      </c>
      <c r="N502" t="s">
        <v>156</v>
      </c>
    </row>
    <row r="503" spans="1:14" x14ac:dyDescent="0.25">
      <c r="A503" t="s">
        <v>957</v>
      </c>
      <c r="B503" t="s">
        <v>421</v>
      </c>
      <c r="C503" t="s">
        <v>340</v>
      </c>
      <c r="D503">
        <v>46105</v>
      </c>
      <c r="E503" t="s">
        <v>27</v>
      </c>
      <c r="F503" t="s">
        <v>28</v>
      </c>
      <c r="G503" t="s">
        <v>147</v>
      </c>
      <c r="H503" t="s">
        <v>32</v>
      </c>
      <c r="I503">
        <v>4</v>
      </c>
      <c r="J503">
        <v>2491091</v>
      </c>
      <c r="K503">
        <v>50000</v>
      </c>
      <c r="L503" t="s">
        <v>148</v>
      </c>
      <c r="M503" t="s">
        <v>138</v>
      </c>
      <c r="N503" t="s">
        <v>139</v>
      </c>
    </row>
    <row r="504" spans="1:14" x14ac:dyDescent="0.25">
      <c r="A504" t="s">
        <v>958</v>
      </c>
      <c r="B504" t="s">
        <v>959</v>
      </c>
      <c r="C504" t="s">
        <v>679</v>
      </c>
      <c r="D504">
        <v>46083</v>
      </c>
      <c r="E504" t="s">
        <v>23</v>
      </c>
      <c r="F504" t="s">
        <v>160</v>
      </c>
      <c r="G504" t="s">
        <v>39</v>
      </c>
      <c r="H504" t="s">
        <v>88</v>
      </c>
      <c r="I504">
        <v>6</v>
      </c>
      <c r="J504">
        <v>1469886</v>
      </c>
      <c r="K504">
        <v>35000</v>
      </c>
      <c r="L504" t="s">
        <v>137</v>
      </c>
      <c r="M504" t="s">
        <v>138</v>
      </c>
      <c r="N504" t="s">
        <v>139</v>
      </c>
    </row>
    <row r="505" spans="1:14" x14ac:dyDescent="0.25">
      <c r="A505" t="s">
        <v>960</v>
      </c>
      <c r="B505" t="s">
        <v>141</v>
      </c>
      <c r="C505" t="s">
        <v>142</v>
      </c>
      <c r="D505">
        <v>46026</v>
      </c>
      <c r="E505" t="s">
        <v>23</v>
      </c>
      <c r="F505" t="s">
        <v>160</v>
      </c>
      <c r="G505" t="s">
        <v>39</v>
      </c>
      <c r="H505" t="s">
        <v>32</v>
      </c>
      <c r="I505">
        <v>6</v>
      </c>
      <c r="J505">
        <v>799867</v>
      </c>
      <c r="K505">
        <v>50000</v>
      </c>
      <c r="L505" t="s">
        <v>137</v>
      </c>
      <c r="M505" t="s">
        <v>161</v>
      </c>
      <c r="N505" t="s">
        <v>156</v>
      </c>
    </row>
    <row r="506" spans="1:14" x14ac:dyDescent="0.25">
      <c r="A506" t="s">
        <v>961</v>
      </c>
      <c r="B506" t="s">
        <v>962</v>
      </c>
      <c r="C506" t="s">
        <v>17</v>
      </c>
      <c r="D506">
        <v>46157</v>
      </c>
      <c r="E506" t="s">
        <v>23</v>
      </c>
      <c r="F506" t="s">
        <v>28</v>
      </c>
      <c r="G506" t="s">
        <v>136</v>
      </c>
      <c r="H506" t="s">
        <v>25</v>
      </c>
      <c r="I506">
        <v>6</v>
      </c>
      <c r="J506">
        <v>2163437</v>
      </c>
      <c r="K506">
        <v>15000</v>
      </c>
      <c r="L506" t="s">
        <v>148</v>
      </c>
      <c r="M506" t="s">
        <v>161</v>
      </c>
      <c r="N506" t="s">
        <v>139</v>
      </c>
    </row>
    <row r="507" spans="1:14" x14ac:dyDescent="0.25">
      <c r="A507" t="s">
        <v>963</v>
      </c>
      <c r="B507" t="s">
        <v>777</v>
      </c>
      <c r="C507" t="s">
        <v>246</v>
      </c>
      <c r="D507">
        <v>46118</v>
      </c>
      <c r="E507" t="s">
        <v>27</v>
      </c>
      <c r="F507" t="s">
        <v>1346</v>
      </c>
      <c r="G507" t="s">
        <v>147</v>
      </c>
      <c r="H507" t="s">
        <v>35</v>
      </c>
      <c r="I507">
        <v>2</v>
      </c>
      <c r="J507">
        <v>2484792</v>
      </c>
      <c r="K507">
        <v>15000</v>
      </c>
      <c r="L507" t="s">
        <v>137</v>
      </c>
      <c r="M507" t="s">
        <v>138</v>
      </c>
      <c r="N507" t="s">
        <v>139</v>
      </c>
    </row>
    <row r="508" spans="1:14" x14ac:dyDescent="0.25">
      <c r="A508" t="s">
        <v>964</v>
      </c>
      <c r="B508" t="s">
        <v>257</v>
      </c>
      <c r="C508" t="s">
        <v>258</v>
      </c>
      <c r="D508">
        <v>46141</v>
      </c>
      <c r="E508" t="s">
        <v>18</v>
      </c>
      <c r="F508" t="s">
        <v>143</v>
      </c>
      <c r="G508" t="s">
        <v>147</v>
      </c>
      <c r="H508" t="s">
        <v>32</v>
      </c>
      <c r="I508">
        <v>6</v>
      </c>
      <c r="J508">
        <v>1003392</v>
      </c>
      <c r="K508">
        <v>25000</v>
      </c>
      <c r="L508" t="s">
        <v>137</v>
      </c>
      <c r="M508" t="s">
        <v>165</v>
      </c>
      <c r="N508" t="s">
        <v>156</v>
      </c>
    </row>
    <row r="509" spans="1:14" x14ac:dyDescent="0.25">
      <c r="A509" t="s">
        <v>965</v>
      </c>
      <c r="B509" t="s">
        <v>201</v>
      </c>
      <c r="C509" t="s">
        <v>202</v>
      </c>
      <c r="D509">
        <v>46129</v>
      </c>
      <c r="E509" t="s">
        <v>34</v>
      </c>
      <c r="F509" t="s">
        <v>143</v>
      </c>
      <c r="G509" t="s">
        <v>177</v>
      </c>
      <c r="H509" t="s">
        <v>20</v>
      </c>
      <c r="I509">
        <v>4</v>
      </c>
      <c r="J509">
        <v>871727</v>
      </c>
      <c r="K509">
        <v>15000</v>
      </c>
      <c r="L509" t="s">
        <v>137</v>
      </c>
      <c r="M509" t="s">
        <v>149</v>
      </c>
      <c r="N509" t="s">
        <v>139</v>
      </c>
    </row>
    <row r="510" spans="1:14" x14ac:dyDescent="0.25">
      <c r="A510" t="s">
        <v>966</v>
      </c>
      <c r="B510" t="s">
        <v>387</v>
      </c>
      <c r="C510" t="s">
        <v>301</v>
      </c>
      <c r="D510">
        <v>46047</v>
      </c>
      <c r="E510" t="s">
        <v>27</v>
      </c>
      <c r="F510" t="s">
        <v>143</v>
      </c>
      <c r="G510" t="s">
        <v>1347</v>
      </c>
      <c r="H510" t="s">
        <v>20</v>
      </c>
      <c r="I510">
        <v>4</v>
      </c>
      <c r="J510">
        <v>376304</v>
      </c>
      <c r="K510">
        <v>50000</v>
      </c>
      <c r="L510" t="s">
        <v>137</v>
      </c>
      <c r="M510" t="s">
        <v>161</v>
      </c>
      <c r="N510" t="s">
        <v>156</v>
      </c>
    </row>
    <row r="511" spans="1:14" x14ac:dyDescent="0.25">
      <c r="A511" t="s">
        <v>967</v>
      </c>
      <c r="B511" t="s">
        <v>182</v>
      </c>
      <c r="C511" t="s">
        <v>183</v>
      </c>
      <c r="D511">
        <v>46095</v>
      </c>
      <c r="E511" t="s">
        <v>31</v>
      </c>
      <c r="F511" t="s">
        <v>1346</v>
      </c>
      <c r="G511" t="s">
        <v>147</v>
      </c>
      <c r="H511" t="s">
        <v>35</v>
      </c>
      <c r="I511">
        <v>6</v>
      </c>
      <c r="J511">
        <v>1907468</v>
      </c>
      <c r="K511">
        <v>50000</v>
      </c>
      <c r="L511" t="s">
        <v>137</v>
      </c>
      <c r="M511" t="s">
        <v>138</v>
      </c>
      <c r="N511" t="s">
        <v>156</v>
      </c>
    </row>
    <row r="512" spans="1:14" x14ac:dyDescent="0.25">
      <c r="A512" t="s">
        <v>968</v>
      </c>
      <c r="B512" t="s">
        <v>512</v>
      </c>
      <c r="C512" t="s">
        <v>246</v>
      </c>
      <c r="D512">
        <v>46174</v>
      </c>
      <c r="E512" t="s">
        <v>27</v>
      </c>
      <c r="F512" t="s">
        <v>160</v>
      </c>
      <c r="G512" t="s">
        <v>177</v>
      </c>
      <c r="H512" t="s">
        <v>35</v>
      </c>
      <c r="I512">
        <v>6</v>
      </c>
      <c r="J512">
        <v>759303</v>
      </c>
      <c r="K512">
        <v>0</v>
      </c>
      <c r="L512" t="s">
        <v>137</v>
      </c>
      <c r="M512" t="s">
        <v>161</v>
      </c>
      <c r="N512" t="s">
        <v>139</v>
      </c>
    </row>
    <row r="513" spans="1:14" x14ac:dyDescent="0.25">
      <c r="A513" t="s">
        <v>969</v>
      </c>
      <c r="B513" t="s">
        <v>387</v>
      </c>
      <c r="C513" t="s">
        <v>301</v>
      </c>
      <c r="D513">
        <v>46170</v>
      </c>
      <c r="E513" t="s">
        <v>23</v>
      </c>
      <c r="F513" t="s">
        <v>143</v>
      </c>
      <c r="G513" t="s">
        <v>177</v>
      </c>
      <c r="H513" t="s">
        <v>20</v>
      </c>
      <c r="I513">
        <v>6</v>
      </c>
      <c r="J513">
        <v>1282818</v>
      </c>
      <c r="K513">
        <v>50000</v>
      </c>
      <c r="L513" t="s">
        <v>43</v>
      </c>
      <c r="M513" t="s">
        <v>161</v>
      </c>
      <c r="N513" t="s">
        <v>156</v>
      </c>
    </row>
    <row r="514" spans="1:14" x14ac:dyDescent="0.25">
      <c r="A514" t="s">
        <v>970</v>
      </c>
      <c r="B514" t="s">
        <v>225</v>
      </c>
      <c r="C514" t="s">
        <v>226</v>
      </c>
      <c r="D514">
        <v>46065</v>
      </c>
      <c r="E514" t="s">
        <v>18</v>
      </c>
      <c r="F514" t="s">
        <v>101</v>
      </c>
      <c r="G514" t="s">
        <v>39</v>
      </c>
      <c r="H514" t="s">
        <v>32</v>
      </c>
      <c r="I514">
        <v>3</v>
      </c>
      <c r="J514">
        <v>2114240</v>
      </c>
      <c r="K514">
        <v>0</v>
      </c>
      <c r="L514" t="s">
        <v>137</v>
      </c>
      <c r="M514" t="s">
        <v>149</v>
      </c>
      <c r="N514" t="s">
        <v>139</v>
      </c>
    </row>
    <row r="515" spans="1:14" x14ac:dyDescent="0.25">
      <c r="A515" t="s">
        <v>971</v>
      </c>
      <c r="B515" t="s">
        <v>370</v>
      </c>
      <c r="C515" t="s">
        <v>180</v>
      </c>
      <c r="D515">
        <v>46151</v>
      </c>
      <c r="E515" t="s">
        <v>31</v>
      </c>
      <c r="F515" t="s">
        <v>1346</v>
      </c>
      <c r="G515" t="s">
        <v>136</v>
      </c>
      <c r="H515" t="s">
        <v>35</v>
      </c>
      <c r="I515">
        <v>5</v>
      </c>
      <c r="J515">
        <v>611977</v>
      </c>
      <c r="K515">
        <v>15000</v>
      </c>
      <c r="L515" t="s">
        <v>137</v>
      </c>
      <c r="M515" t="s">
        <v>165</v>
      </c>
      <c r="N515" t="s">
        <v>139</v>
      </c>
    </row>
    <row r="516" spans="1:14" x14ac:dyDescent="0.25">
      <c r="A516" t="s">
        <v>972</v>
      </c>
      <c r="B516" t="s">
        <v>640</v>
      </c>
      <c r="C516" t="s">
        <v>198</v>
      </c>
      <c r="D516">
        <v>46043</v>
      </c>
      <c r="E516" t="s">
        <v>27</v>
      </c>
      <c r="F516" t="s">
        <v>28</v>
      </c>
      <c r="G516" t="s">
        <v>39</v>
      </c>
      <c r="H516" t="s">
        <v>25</v>
      </c>
      <c r="I516">
        <v>6</v>
      </c>
      <c r="J516">
        <v>1017158</v>
      </c>
      <c r="K516">
        <v>15000</v>
      </c>
      <c r="L516" t="s">
        <v>148</v>
      </c>
      <c r="M516" t="s">
        <v>149</v>
      </c>
      <c r="N516" t="s">
        <v>156</v>
      </c>
    </row>
    <row r="517" spans="1:14" x14ac:dyDescent="0.25">
      <c r="A517" t="s">
        <v>973</v>
      </c>
      <c r="B517" t="s">
        <v>974</v>
      </c>
      <c r="C517" t="s">
        <v>159</v>
      </c>
      <c r="D517">
        <v>46134</v>
      </c>
      <c r="E517" t="s">
        <v>34</v>
      </c>
      <c r="F517" t="s">
        <v>28</v>
      </c>
      <c r="G517" t="s">
        <v>177</v>
      </c>
      <c r="H517" t="s">
        <v>35</v>
      </c>
      <c r="I517">
        <v>1</v>
      </c>
      <c r="J517">
        <v>1580374</v>
      </c>
      <c r="K517">
        <v>15000</v>
      </c>
      <c r="L517" t="s">
        <v>148</v>
      </c>
      <c r="M517" t="s">
        <v>149</v>
      </c>
      <c r="N517" t="s">
        <v>156</v>
      </c>
    </row>
    <row r="518" spans="1:14" x14ac:dyDescent="0.25">
      <c r="A518" t="s">
        <v>975</v>
      </c>
      <c r="B518" t="s">
        <v>363</v>
      </c>
      <c r="C518" t="s">
        <v>195</v>
      </c>
      <c r="D518">
        <v>46118</v>
      </c>
      <c r="E518" t="s">
        <v>23</v>
      </c>
      <c r="F518" t="s">
        <v>1346</v>
      </c>
      <c r="G518" t="s">
        <v>136</v>
      </c>
      <c r="H518" t="s">
        <v>20</v>
      </c>
      <c r="I518">
        <v>2</v>
      </c>
      <c r="J518">
        <v>870803</v>
      </c>
      <c r="K518">
        <v>0</v>
      </c>
      <c r="L518" t="s">
        <v>137</v>
      </c>
      <c r="M518" t="s">
        <v>138</v>
      </c>
      <c r="N518" t="s">
        <v>139</v>
      </c>
    </row>
    <row r="519" spans="1:14" x14ac:dyDescent="0.25">
      <c r="A519" t="s">
        <v>976</v>
      </c>
      <c r="B519" t="s">
        <v>725</v>
      </c>
      <c r="C519" t="s">
        <v>726</v>
      </c>
      <c r="D519" t="s">
        <v>1392</v>
      </c>
      <c r="E519" t="s">
        <v>31</v>
      </c>
      <c r="F519" t="s">
        <v>28</v>
      </c>
      <c r="G519" t="s">
        <v>173</v>
      </c>
      <c r="H519" t="s">
        <v>25</v>
      </c>
      <c r="I519">
        <v>5</v>
      </c>
      <c r="J519">
        <v>2228868</v>
      </c>
      <c r="K519">
        <v>0</v>
      </c>
      <c r="L519" t="s">
        <v>137</v>
      </c>
      <c r="M519" t="s">
        <v>138</v>
      </c>
      <c r="N519" t="s">
        <v>139</v>
      </c>
    </row>
    <row r="520" spans="1:14" x14ac:dyDescent="0.25">
      <c r="A520" t="s">
        <v>977</v>
      </c>
      <c r="B520" t="s">
        <v>962</v>
      </c>
      <c r="C520" t="s">
        <v>17</v>
      </c>
      <c r="D520">
        <v>46037</v>
      </c>
      <c r="E520" t="s">
        <v>31</v>
      </c>
      <c r="F520" t="s">
        <v>160</v>
      </c>
      <c r="G520" t="s">
        <v>173</v>
      </c>
      <c r="H520" t="s">
        <v>25</v>
      </c>
      <c r="I520">
        <v>5</v>
      </c>
      <c r="J520">
        <v>247617</v>
      </c>
      <c r="K520">
        <v>35000</v>
      </c>
      <c r="L520" t="s">
        <v>137</v>
      </c>
      <c r="M520" t="s">
        <v>138</v>
      </c>
      <c r="N520" t="s">
        <v>156</v>
      </c>
    </row>
    <row r="521" spans="1:14" x14ac:dyDescent="0.25">
      <c r="A521" t="s">
        <v>978</v>
      </c>
      <c r="B521" t="s">
        <v>979</v>
      </c>
      <c r="C521" t="s">
        <v>679</v>
      </c>
      <c r="D521">
        <v>46062</v>
      </c>
      <c r="E521" t="s">
        <v>23</v>
      </c>
      <c r="F521" t="s">
        <v>28</v>
      </c>
      <c r="G521" t="s">
        <v>169</v>
      </c>
      <c r="H521" t="s">
        <v>20</v>
      </c>
      <c r="I521">
        <v>1</v>
      </c>
      <c r="J521">
        <v>862004</v>
      </c>
      <c r="K521">
        <v>15000</v>
      </c>
      <c r="L521" t="s">
        <v>137</v>
      </c>
      <c r="M521" t="s">
        <v>165</v>
      </c>
      <c r="N521" t="s">
        <v>139</v>
      </c>
    </row>
    <row r="522" spans="1:14" x14ac:dyDescent="0.25">
      <c r="A522" t="s">
        <v>980</v>
      </c>
      <c r="B522" t="s">
        <v>951</v>
      </c>
      <c r="C522" t="s">
        <v>1393</v>
      </c>
      <c r="D522">
        <v>46162</v>
      </c>
      <c r="E522" t="s">
        <v>106</v>
      </c>
      <c r="F522" t="s">
        <v>143</v>
      </c>
      <c r="G522" t="s">
        <v>147</v>
      </c>
      <c r="H522" t="s">
        <v>25</v>
      </c>
      <c r="I522">
        <v>6</v>
      </c>
      <c r="J522">
        <v>1283827</v>
      </c>
      <c r="K522">
        <v>15000</v>
      </c>
      <c r="L522" t="s">
        <v>137</v>
      </c>
      <c r="M522" t="s">
        <v>161</v>
      </c>
      <c r="N522" t="s">
        <v>156</v>
      </c>
    </row>
    <row r="523" spans="1:14" x14ac:dyDescent="0.25">
      <c r="A523" t="s">
        <v>981</v>
      </c>
      <c r="B523" t="s">
        <v>459</v>
      </c>
      <c r="C523" t="s">
        <v>317</v>
      </c>
      <c r="D523">
        <v>46126</v>
      </c>
      <c r="E523" t="s">
        <v>18</v>
      </c>
      <c r="F523" t="s">
        <v>1346</v>
      </c>
      <c r="G523" t="s">
        <v>173</v>
      </c>
      <c r="H523" t="s">
        <v>29</v>
      </c>
      <c r="I523">
        <v>1</v>
      </c>
      <c r="J523">
        <v>1866418</v>
      </c>
      <c r="K523">
        <v>0</v>
      </c>
      <c r="L523" t="s">
        <v>137</v>
      </c>
      <c r="M523" t="s">
        <v>138</v>
      </c>
      <c r="N523" t="s">
        <v>139</v>
      </c>
    </row>
    <row r="524" spans="1:14" x14ac:dyDescent="0.25">
      <c r="A524" t="s">
        <v>982</v>
      </c>
      <c r="B524" t="s">
        <v>154</v>
      </c>
      <c r="C524" t="s">
        <v>155</v>
      </c>
      <c r="D524">
        <v>46093</v>
      </c>
      <c r="E524" t="s">
        <v>105</v>
      </c>
      <c r="F524" t="s">
        <v>1346</v>
      </c>
      <c r="G524" t="s">
        <v>136</v>
      </c>
      <c r="H524" t="s">
        <v>35</v>
      </c>
      <c r="I524">
        <v>4</v>
      </c>
      <c r="J524">
        <v>953338</v>
      </c>
      <c r="K524">
        <v>50000</v>
      </c>
      <c r="L524" t="s">
        <v>137</v>
      </c>
      <c r="M524" t="s">
        <v>138</v>
      </c>
      <c r="N524" t="s">
        <v>139</v>
      </c>
    </row>
    <row r="525" spans="1:14" x14ac:dyDescent="0.25">
      <c r="A525" t="s">
        <v>983</v>
      </c>
      <c r="B525" t="s">
        <v>235</v>
      </c>
      <c r="C525" t="s">
        <v>142</v>
      </c>
      <c r="D525">
        <v>46110</v>
      </c>
      <c r="E525" t="s">
        <v>31</v>
      </c>
      <c r="F525" t="s">
        <v>160</v>
      </c>
      <c r="G525" t="s">
        <v>173</v>
      </c>
      <c r="H525" t="s">
        <v>20</v>
      </c>
      <c r="I525">
        <v>7</v>
      </c>
      <c r="J525">
        <v>2075603</v>
      </c>
      <c r="K525">
        <v>50000</v>
      </c>
      <c r="L525" t="s">
        <v>137</v>
      </c>
      <c r="M525" t="s">
        <v>138</v>
      </c>
      <c r="N525" t="s">
        <v>156</v>
      </c>
    </row>
    <row r="526" spans="1:14" x14ac:dyDescent="0.25">
      <c r="A526" t="s">
        <v>984</v>
      </c>
      <c r="B526" t="s">
        <v>222</v>
      </c>
      <c r="C526" t="s">
        <v>223</v>
      </c>
      <c r="D526">
        <v>46045</v>
      </c>
      <c r="E526" t="s">
        <v>18</v>
      </c>
      <c r="F526" t="s">
        <v>160</v>
      </c>
      <c r="G526" t="s">
        <v>177</v>
      </c>
      <c r="H526" t="s">
        <v>25</v>
      </c>
      <c r="I526">
        <v>5</v>
      </c>
      <c r="J526">
        <v>898709</v>
      </c>
      <c r="K526">
        <v>25000</v>
      </c>
      <c r="L526" t="s">
        <v>137</v>
      </c>
      <c r="M526" t="s">
        <v>161</v>
      </c>
      <c r="N526" t="s">
        <v>139</v>
      </c>
    </row>
    <row r="527" spans="1:14" x14ac:dyDescent="0.25">
      <c r="A527" t="s">
        <v>985</v>
      </c>
      <c r="B527" t="s">
        <v>739</v>
      </c>
      <c r="C527" t="s">
        <v>192</v>
      </c>
      <c r="D527">
        <v>46086</v>
      </c>
      <c r="E527" t="s">
        <v>23</v>
      </c>
      <c r="F527" t="s">
        <v>28</v>
      </c>
      <c r="G527" t="s">
        <v>169</v>
      </c>
      <c r="H527" t="s">
        <v>25</v>
      </c>
      <c r="I527">
        <v>6</v>
      </c>
      <c r="J527">
        <v>1410932</v>
      </c>
      <c r="K527">
        <v>15000</v>
      </c>
      <c r="L527" t="s">
        <v>137</v>
      </c>
      <c r="M527" t="s">
        <v>161</v>
      </c>
      <c r="N527" t="s">
        <v>156</v>
      </c>
    </row>
    <row r="528" spans="1:14" x14ac:dyDescent="0.25">
      <c r="A528" t="s">
        <v>986</v>
      </c>
      <c r="B528" t="s">
        <v>151</v>
      </c>
      <c r="C528" t="s">
        <v>152</v>
      </c>
      <c r="D528">
        <v>46058</v>
      </c>
      <c r="E528" t="s">
        <v>18</v>
      </c>
      <c r="F528" t="s">
        <v>143</v>
      </c>
      <c r="G528" t="s">
        <v>136</v>
      </c>
      <c r="H528" t="s">
        <v>25</v>
      </c>
      <c r="I528">
        <v>4</v>
      </c>
      <c r="J528">
        <v>2489949</v>
      </c>
      <c r="K528">
        <v>25000</v>
      </c>
      <c r="L528" t="s">
        <v>137</v>
      </c>
      <c r="M528" t="s">
        <v>161</v>
      </c>
      <c r="N528" t="s">
        <v>139</v>
      </c>
    </row>
    <row r="529" spans="1:14" x14ac:dyDescent="0.25">
      <c r="A529" t="s">
        <v>987</v>
      </c>
      <c r="B529" t="s">
        <v>233</v>
      </c>
      <c r="C529" t="s">
        <v>36</v>
      </c>
      <c r="D529">
        <v>46046</v>
      </c>
      <c r="E529" t="s">
        <v>27</v>
      </c>
      <c r="F529" t="s">
        <v>28</v>
      </c>
      <c r="G529" t="s">
        <v>169</v>
      </c>
      <c r="H529" t="s">
        <v>29</v>
      </c>
      <c r="I529">
        <v>5</v>
      </c>
      <c r="J529">
        <v>2174729</v>
      </c>
      <c r="K529">
        <v>25000</v>
      </c>
      <c r="L529" t="s">
        <v>137</v>
      </c>
      <c r="M529" t="s">
        <v>165</v>
      </c>
      <c r="N529" t="s">
        <v>156</v>
      </c>
    </row>
    <row r="530" spans="1:14" x14ac:dyDescent="0.25">
      <c r="A530" t="s">
        <v>988</v>
      </c>
      <c r="B530" t="s">
        <v>269</v>
      </c>
      <c r="C530" t="s">
        <v>180</v>
      </c>
      <c r="D530">
        <v>46172</v>
      </c>
      <c r="E530" t="s">
        <v>31</v>
      </c>
      <c r="F530" t="s">
        <v>1346</v>
      </c>
      <c r="G530" t="s">
        <v>169</v>
      </c>
      <c r="H530" t="s">
        <v>25</v>
      </c>
      <c r="I530">
        <v>5</v>
      </c>
      <c r="J530">
        <v>1737662</v>
      </c>
      <c r="K530">
        <v>15000</v>
      </c>
      <c r="L530" t="s">
        <v>137</v>
      </c>
      <c r="M530" t="s">
        <v>989</v>
      </c>
      <c r="N530" t="s">
        <v>156</v>
      </c>
    </row>
    <row r="531" spans="1:14" x14ac:dyDescent="0.25">
      <c r="A531" t="s">
        <v>990</v>
      </c>
      <c r="B531" t="s">
        <v>410</v>
      </c>
      <c r="C531" t="s">
        <v>411</v>
      </c>
      <c r="D531">
        <v>46202</v>
      </c>
      <c r="E531" t="s">
        <v>27</v>
      </c>
      <c r="F531" t="s">
        <v>143</v>
      </c>
      <c r="G531" t="s">
        <v>136</v>
      </c>
      <c r="H531" t="s">
        <v>29</v>
      </c>
      <c r="I531">
        <v>7</v>
      </c>
      <c r="J531">
        <v>2232944</v>
      </c>
      <c r="K531">
        <v>50000</v>
      </c>
      <c r="L531" t="s">
        <v>137</v>
      </c>
      <c r="M531" t="s">
        <v>161</v>
      </c>
      <c r="N531" t="s">
        <v>139</v>
      </c>
    </row>
    <row r="532" spans="1:14" x14ac:dyDescent="0.25">
      <c r="A532" t="s">
        <v>991</v>
      </c>
      <c r="B532" t="s">
        <v>941</v>
      </c>
      <c r="C532" t="s">
        <v>281</v>
      </c>
      <c r="D532">
        <v>46031</v>
      </c>
      <c r="E532" t="s">
        <v>31</v>
      </c>
      <c r="F532" t="s">
        <v>1346</v>
      </c>
      <c r="G532" t="s">
        <v>136</v>
      </c>
      <c r="H532" t="s">
        <v>35</v>
      </c>
      <c r="I532">
        <v>6</v>
      </c>
      <c r="J532" t="s">
        <v>992</v>
      </c>
      <c r="K532">
        <v>50000</v>
      </c>
      <c r="L532" t="s">
        <v>137</v>
      </c>
      <c r="M532" t="s">
        <v>138</v>
      </c>
      <c r="N532" t="s">
        <v>139</v>
      </c>
    </row>
    <row r="533" spans="1:14" x14ac:dyDescent="0.25">
      <c r="A533" t="s">
        <v>993</v>
      </c>
      <c r="B533" t="s">
        <v>506</v>
      </c>
      <c r="C533" t="s">
        <v>189</v>
      </c>
      <c r="D533" t="s">
        <v>1394</v>
      </c>
      <c r="E533" t="s">
        <v>23</v>
      </c>
      <c r="F533" t="s">
        <v>143</v>
      </c>
      <c r="G533" t="s">
        <v>39</v>
      </c>
      <c r="H533" t="s">
        <v>32</v>
      </c>
      <c r="I533">
        <v>6</v>
      </c>
      <c r="J533">
        <v>261976</v>
      </c>
      <c r="K533">
        <v>25000</v>
      </c>
      <c r="L533" t="s">
        <v>137</v>
      </c>
      <c r="M533" t="s">
        <v>138</v>
      </c>
      <c r="N533" t="s">
        <v>139</v>
      </c>
    </row>
    <row r="534" spans="1:14" x14ac:dyDescent="0.25">
      <c r="A534" t="s">
        <v>994</v>
      </c>
      <c r="B534" t="s">
        <v>881</v>
      </c>
      <c r="C534" t="s">
        <v>159</v>
      </c>
      <c r="D534">
        <v>46188</v>
      </c>
      <c r="E534" t="s">
        <v>18</v>
      </c>
      <c r="F534" t="s">
        <v>160</v>
      </c>
      <c r="G534" t="s">
        <v>39</v>
      </c>
      <c r="H534" t="s">
        <v>35</v>
      </c>
      <c r="I534">
        <v>3</v>
      </c>
      <c r="J534">
        <v>540301</v>
      </c>
      <c r="K534">
        <v>15000</v>
      </c>
      <c r="L534" t="s">
        <v>137</v>
      </c>
      <c r="N534" t="s">
        <v>139</v>
      </c>
    </row>
    <row r="535" spans="1:14" x14ac:dyDescent="0.25">
      <c r="A535" t="s">
        <v>995</v>
      </c>
      <c r="B535" t="s">
        <v>300</v>
      </c>
      <c r="C535" t="s">
        <v>301</v>
      </c>
      <c r="D535">
        <v>46170</v>
      </c>
      <c r="E535" t="s">
        <v>34</v>
      </c>
      <c r="F535" t="s">
        <v>28</v>
      </c>
      <c r="G535" t="s">
        <v>169</v>
      </c>
      <c r="H535" t="s">
        <v>32</v>
      </c>
      <c r="I535">
        <v>4</v>
      </c>
      <c r="K535">
        <v>35000</v>
      </c>
      <c r="L535" t="s">
        <v>996</v>
      </c>
      <c r="M535" t="s">
        <v>165</v>
      </c>
      <c r="N535" t="s">
        <v>139</v>
      </c>
    </row>
    <row r="536" spans="1:14" x14ac:dyDescent="0.25">
      <c r="A536" t="s">
        <v>997</v>
      </c>
      <c r="B536" t="s">
        <v>398</v>
      </c>
      <c r="C536" t="s">
        <v>399</v>
      </c>
      <c r="D536">
        <v>46082</v>
      </c>
      <c r="E536" t="s">
        <v>27</v>
      </c>
      <c r="F536" t="s">
        <v>28</v>
      </c>
      <c r="G536" t="s">
        <v>147</v>
      </c>
      <c r="H536" t="s">
        <v>20</v>
      </c>
      <c r="I536">
        <v>4</v>
      </c>
      <c r="J536">
        <v>2246347</v>
      </c>
      <c r="K536">
        <v>0</v>
      </c>
      <c r="L536" t="s">
        <v>137</v>
      </c>
      <c r="M536" t="s">
        <v>161</v>
      </c>
      <c r="N536" t="s">
        <v>156</v>
      </c>
    </row>
    <row r="537" spans="1:14" x14ac:dyDescent="0.25">
      <c r="A537" t="s">
        <v>998</v>
      </c>
      <c r="B537" t="s">
        <v>545</v>
      </c>
      <c r="C537" t="s">
        <v>17</v>
      </c>
      <c r="D537">
        <v>46065</v>
      </c>
      <c r="E537" t="s">
        <v>27</v>
      </c>
      <c r="F537" t="s">
        <v>143</v>
      </c>
      <c r="G537" t="s">
        <v>177</v>
      </c>
      <c r="H537" t="s">
        <v>94</v>
      </c>
      <c r="I537">
        <v>6</v>
      </c>
      <c r="J537">
        <v>1380735</v>
      </c>
      <c r="K537">
        <v>50000</v>
      </c>
      <c r="L537" t="s">
        <v>43</v>
      </c>
      <c r="M537" t="s">
        <v>161</v>
      </c>
      <c r="N537" t="s">
        <v>156</v>
      </c>
    </row>
    <row r="538" spans="1:14" x14ac:dyDescent="0.25">
      <c r="A538" t="s">
        <v>999</v>
      </c>
      <c r="B538" t="s">
        <v>693</v>
      </c>
      <c r="C538" t="s">
        <v>164</v>
      </c>
      <c r="D538">
        <v>46102</v>
      </c>
      <c r="E538" t="s">
        <v>18</v>
      </c>
      <c r="F538" t="s">
        <v>143</v>
      </c>
      <c r="G538" t="s">
        <v>177</v>
      </c>
      <c r="H538" t="s">
        <v>25</v>
      </c>
      <c r="I538">
        <v>4</v>
      </c>
      <c r="J538">
        <v>713330</v>
      </c>
      <c r="K538">
        <v>25000</v>
      </c>
      <c r="L538" t="s">
        <v>137</v>
      </c>
      <c r="M538" t="s">
        <v>138</v>
      </c>
      <c r="N538" t="s">
        <v>139</v>
      </c>
    </row>
    <row r="539" spans="1:14" x14ac:dyDescent="0.25">
      <c r="A539" t="s">
        <v>1000</v>
      </c>
      <c r="B539" t="s">
        <v>739</v>
      </c>
      <c r="C539" t="s">
        <v>192</v>
      </c>
      <c r="D539">
        <v>46070</v>
      </c>
      <c r="E539" t="s">
        <v>27</v>
      </c>
      <c r="F539" t="s">
        <v>1346</v>
      </c>
      <c r="G539" t="s">
        <v>173</v>
      </c>
      <c r="H539" t="s">
        <v>32</v>
      </c>
      <c r="I539">
        <v>4</v>
      </c>
      <c r="J539">
        <v>1110625</v>
      </c>
      <c r="K539">
        <v>15000</v>
      </c>
      <c r="L539" t="s">
        <v>137</v>
      </c>
      <c r="M539" t="s">
        <v>161</v>
      </c>
      <c r="N539" t="s">
        <v>156</v>
      </c>
    </row>
    <row r="540" spans="1:14" x14ac:dyDescent="0.25">
      <c r="A540" t="s">
        <v>1001</v>
      </c>
      <c r="B540" t="s">
        <v>1002</v>
      </c>
      <c r="C540" t="s">
        <v>306</v>
      </c>
      <c r="D540">
        <v>46048</v>
      </c>
      <c r="E540" t="s">
        <v>31</v>
      </c>
      <c r="F540" t="s">
        <v>28</v>
      </c>
      <c r="G540" t="s">
        <v>39</v>
      </c>
      <c r="H540" t="s">
        <v>29</v>
      </c>
      <c r="I540">
        <v>6</v>
      </c>
      <c r="J540">
        <v>2094681</v>
      </c>
      <c r="K540">
        <v>50000</v>
      </c>
      <c r="L540" t="s">
        <v>137</v>
      </c>
      <c r="M540" t="s">
        <v>199</v>
      </c>
      <c r="N540" t="s">
        <v>156</v>
      </c>
    </row>
    <row r="541" spans="1:14" x14ac:dyDescent="0.25">
      <c r="A541" t="s">
        <v>1003</v>
      </c>
      <c r="B541" t="s">
        <v>498</v>
      </c>
      <c r="C541" t="s">
        <v>320</v>
      </c>
      <c r="D541">
        <v>46055</v>
      </c>
      <c r="E541" t="s">
        <v>31</v>
      </c>
      <c r="F541" t="s">
        <v>28</v>
      </c>
      <c r="G541" t="s">
        <v>147</v>
      </c>
      <c r="H541" t="s">
        <v>20</v>
      </c>
      <c r="I541">
        <v>4</v>
      </c>
      <c r="J541">
        <v>1455284</v>
      </c>
      <c r="K541">
        <v>15000</v>
      </c>
      <c r="L541" t="s">
        <v>137</v>
      </c>
      <c r="M541" t="s">
        <v>165</v>
      </c>
      <c r="N541" t="s">
        <v>139</v>
      </c>
    </row>
    <row r="542" spans="1:14" x14ac:dyDescent="0.25">
      <c r="A542" t="s">
        <v>1004</v>
      </c>
      <c r="B542" t="s">
        <v>835</v>
      </c>
      <c r="C542" t="s">
        <v>297</v>
      </c>
      <c r="D542">
        <v>46194</v>
      </c>
      <c r="E542" t="s">
        <v>34</v>
      </c>
      <c r="F542" t="s">
        <v>1346</v>
      </c>
      <c r="G542" t="s">
        <v>147</v>
      </c>
      <c r="H542" t="s">
        <v>20</v>
      </c>
      <c r="I542">
        <v>5</v>
      </c>
      <c r="J542">
        <v>232811</v>
      </c>
      <c r="K542">
        <v>15000</v>
      </c>
      <c r="L542" t="s">
        <v>137</v>
      </c>
      <c r="M542" t="s">
        <v>161</v>
      </c>
      <c r="N542" t="s">
        <v>139</v>
      </c>
    </row>
    <row r="543" spans="1:14" x14ac:dyDescent="0.25">
      <c r="A543" t="s">
        <v>1005</v>
      </c>
      <c r="B543" t="s">
        <v>725</v>
      </c>
      <c r="C543" t="s">
        <v>726</v>
      </c>
      <c r="D543">
        <v>46042</v>
      </c>
      <c r="E543" t="s">
        <v>31</v>
      </c>
      <c r="F543" t="s">
        <v>160</v>
      </c>
      <c r="G543" t="s">
        <v>1395</v>
      </c>
      <c r="H543" t="s">
        <v>32</v>
      </c>
      <c r="I543">
        <v>4</v>
      </c>
      <c r="J543">
        <v>1084998</v>
      </c>
      <c r="K543">
        <v>15000</v>
      </c>
      <c r="L543" t="s">
        <v>137</v>
      </c>
      <c r="M543" t="s">
        <v>161</v>
      </c>
      <c r="N543" t="s">
        <v>156</v>
      </c>
    </row>
    <row r="544" spans="1:14" x14ac:dyDescent="0.25">
      <c r="A544" t="s">
        <v>1006</v>
      </c>
      <c r="B544" t="s">
        <v>255</v>
      </c>
      <c r="C544" t="s">
        <v>33</v>
      </c>
      <c r="D544">
        <v>46061</v>
      </c>
      <c r="E544" t="s">
        <v>34</v>
      </c>
      <c r="F544" t="s">
        <v>28</v>
      </c>
      <c r="G544" t="s">
        <v>177</v>
      </c>
      <c r="H544" t="s">
        <v>29</v>
      </c>
      <c r="I544">
        <v>4</v>
      </c>
      <c r="J544">
        <v>1315226</v>
      </c>
      <c r="K544">
        <v>25000</v>
      </c>
      <c r="L544" t="s">
        <v>137</v>
      </c>
      <c r="M544" t="s">
        <v>138</v>
      </c>
      <c r="N544" t="s">
        <v>139</v>
      </c>
    </row>
    <row r="545" spans="1:14" x14ac:dyDescent="0.25">
      <c r="A545" t="s">
        <v>1007</v>
      </c>
      <c r="B545" t="s">
        <v>501</v>
      </c>
      <c r="C545" t="s">
        <v>502</v>
      </c>
      <c r="D545">
        <v>46155</v>
      </c>
      <c r="E545" t="s">
        <v>23</v>
      </c>
      <c r="F545" t="s">
        <v>28</v>
      </c>
      <c r="G545" t="s">
        <v>173</v>
      </c>
      <c r="H545" t="s">
        <v>29</v>
      </c>
      <c r="I545">
        <v>7</v>
      </c>
      <c r="J545">
        <v>566402</v>
      </c>
      <c r="K545">
        <v>35000</v>
      </c>
      <c r="L545" t="s">
        <v>214</v>
      </c>
      <c r="M545" t="s">
        <v>138</v>
      </c>
      <c r="N545" t="s">
        <v>139</v>
      </c>
    </row>
    <row r="546" spans="1:14" x14ac:dyDescent="0.25">
      <c r="A546" t="s">
        <v>1008</v>
      </c>
      <c r="B546" t="s">
        <v>141</v>
      </c>
      <c r="C546" t="s">
        <v>142</v>
      </c>
      <c r="D546">
        <v>46170</v>
      </c>
      <c r="E546" t="s">
        <v>31</v>
      </c>
      <c r="F546" t="s">
        <v>28</v>
      </c>
      <c r="G546" t="s">
        <v>173</v>
      </c>
      <c r="H546" t="s">
        <v>25</v>
      </c>
      <c r="I546">
        <v>6</v>
      </c>
      <c r="J546">
        <v>2246388</v>
      </c>
      <c r="K546">
        <v>35000</v>
      </c>
      <c r="L546" t="s">
        <v>137</v>
      </c>
      <c r="M546" t="s">
        <v>138</v>
      </c>
      <c r="N546" t="s">
        <v>139</v>
      </c>
    </row>
    <row r="547" spans="1:14" x14ac:dyDescent="0.25">
      <c r="A547" t="s">
        <v>1009</v>
      </c>
      <c r="B547" t="s">
        <v>941</v>
      </c>
      <c r="C547" t="s">
        <v>281</v>
      </c>
      <c r="D547">
        <v>46185</v>
      </c>
      <c r="E547" t="s">
        <v>31</v>
      </c>
      <c r="F547" t="s">
        <v>1346</v>
      </c>
      <c r="G547" t="s">
        <v>147</v>
      </c>
      <c r="H547" t="s">
        <v>95</v>
      </c>
      <c r="I547">
        <v>7</v>
      </c>
      <c r="J547">
        <v>606364</v>
      </c>
      <c r="K547">
        <v>50000</v>
      </c>
      <c r="L547" t="s">
        <v>148</v>
      </c>
      <c r="M547" t="s">
        <v>165</v>
      </c>
      <c r="N547" t="s">
        <v>156</v>
      </c>
    </row>
    <row r="548" spans="1:14" x14ac:dyDescent="0.25">
      <c r="A548" t="s">
        <v>1010</v>
      </c>
      <c r="B548" t="s">
        <v>171</v>
      </c>
      <c r="C548" t="s">
        <v>172</v>
      </c>
      <c r="D548">
        <v>46068</v>
      </c>
      <c r="E548" t="s">
        <v>18</v>
      </c>
      <c r="F548" t="s">
        <v>160</v>
      </c>
      <c r="G548" t="s">
        <v>136</v>
      </c>
      <c r="H548" t="s">
        <v>35</v>
      </c>
      <c r="I548">
        <v>7</v>
      </c>
      <c r="J548">
        <v>1898658</v>
      </c>
      <c r="K548">
        <v>50000</v>
      </c>
      <c r="L548" t="s">
        <v>137</v>
      </c>
      <c r="M548" t="s">
        <v>138</v>
      </c>
      <c r="N548" t="s">
        <v>139</v>
      </c>
    </row>
    <row r="549" spans="1:14" x14ac:dyDescent="0.25">
      <c r="A549" t="s">
        <v>1011</v>
      </c>
      <c r="B549" t="s">
        <v>800</v>
      </c>
      <c r="C549" t="s">
        <v>192</v>
      </c>
      <c r="D549">
        <v>46154</v>
      </c>
      <c r="E549" t="s">
        <v>31</v>
      </c>
      <c r="F549" t="s">
        <v>28</v>
      </c>
      <c r="G549" t="s">
        <v>136</v>
      </c>
      <c r="H549" t="s">
        <v>20</v>
      </c>
      <c r="I549">
        <v>1</v>
      </c>
      <c r="J549">
        <v>2028363</v>
      </c>
      <c r="K549">
        <v>35000</v>
      </c>
      <c r="L549" t="s">
        <v>137</v>
      </c>
      <c r="M549" t="s">
        <v>161</v>
      </c>
      <c r="N549" t="s">
        <v>139</v>
      </c>
    </row>
    <row r="550" spans="1:14" x14ac:dyDescent="0.25">
      <c r="A550" t="s">
        <v>1012</v>
      </c>
      <c r="B550" t="s">
        <v>1013</v>
      </c>
      <c r="C550" t="s">
        <v>220</v>
      </c>
      <c r="D550">
        <v>46131</v>
      </c>
      <c r="E550" t="s">
        <v>34</v>
      </c>
      <c r="F550" t="s">
        <v>28</v>
      </c>
      <c r="G550" t="s">
        <v>173</v>
      </c>
      <c r="H550" t="s">
        <v>32</v>
      </c>
      <c r="I550">
        <v>7</v>
      </c>
      <c r="J550">
        <v>1535417</v>
      </c>
      <c r="K550">
        <v>25000</v>
      </c>
      <c r="L550" t="s">
        <v>148</v>
      </c>
      <c r="M550" t="s">
        <v>138</v>
      </c>
      <c r="N550" t="s">
        <v>139</v>
      </c>
    </row>
    <row r="551" spans="1:14" x14ac:dyDescent="0.25">
      <c r="A551" t="s">
        <v>1014</v>
      </c>
      <c r="B551" t="s">
        <v>349</v>
      </c>
      <c r="C551" t="s">
        <v>350</v>
      </c>
      <c r="D551">
        <v>46185</v>
      </c>
      <c r="E551" t="s">
        <v>31</v>
      </c>
      <c r="F551" t="s">
        <v>143</v>
      </c>
      <c r="G551" t="s">
        <v>177</v>
      </c>
      <c r="H551" t="s">
        <v>20</v>
      </c>
      <c r="I551">
        <v>1</v>
      </c>
      <c r="J551">
        <v>269380</v>
      </c>
      <c r="K551">
        <v>50000</v>
      </c>
      <c r="L551" t="s">
        <v>137</v>
      </c>
      <c r="M551" t="s">
        <v>161</v>
      </c>
      <c r="N551" t="s">
        <v>156</v>
      </c>
    </row>
    <row r="552" spans="1:14" x14ac:dyDescent="0.25">
      <c r="A552" t="s">
        <v>1015</v>
      </c>
      <c r="B552" t="s">
        <v>141</v>
      </c>
      <c r="C552" t="s">
        <v>142</v>
      </c>
      <c r="D552">
        <v>46060</v>
      </c>
      <c r="E552" t="s">
        <v>27</v>
      </c>
      <c r="F552" t="s">
        <v>143</v>
      </c>
      <c r="G552" t="s">
        <v>169</v>
      </c>
      <c r="H552" t="s">
        <v>35</v>
      </c>
      <c r="I552">
        <v>3</v>
      </c>
      <c r="J552">
        <v>2189680</v>
      </c>
      <c r="K552">
        <v>35000</v>
      </c>
      <c r="L552" t="s">
        <v>137</v>
      </c>
      <c r="M552" t="s">
        <v>138</v>
      </c>
      <c r="N552" t="s">
        <v>139</v>
      </c>
    </row>
    <row r="553" spans="1:14" x14ac:dyDescent="0.25">
      <c r="A553" t="s">
        <v>1016</v>
      </c>
      <c r="B553" t="s">
        <v>398</v>
      </c>
      <c r="C553" t="s">
        <v>399</v>
      </c>
      <c r="D553">
        <v>46042</v>
      </c>
      <c r="E553" t="s">
        <v>23</v>
      </c>
      <c r="F553" t="s">
        <v>28</v>
      </c>
      <c r="G553" t="s">
        <v>1359</v>
      </c>
      <c r="H553" t="s">
        <v>20</v>
      </c>
      <c r="I553">
        <v>1</v>
      </c>
      <c r="J553">
        <v>1489811</v>
      </c>
      <c r="K553">
        <v>25000</v>
      </c>
      <c r="L553" t="s">
        <v>137</v>
      </c>
      <c r="M553" t="s">
        <v>149</v>
      </c>
      <c r="N553" t="s">
        <v>139</v>
      </c>
    </row>
    <row r="554" spans="1:14" x14ac:dyDescent="0.25">
      <c r="A554" t="s">
        <v>1017</v>
      </c>
      <c r="B554" t="s">
        <v>134</v>
      </c>
      <c r="C554" t="s">
        <v>135</v>
      </c>
      <c r="D554">
        <v>46186</v>
      </c>
      <c r="E554" t="s">
        <v>34</v>
      </c>
      <c r="F554" t="s">
        <v>160</v>
      </c>
      <c r="G554" t="s">
        <v>39</v>
      </c>
      <c r="H554" t="s">
        <v>20</v>
      </c>
      <c r="I554">
        <v>4</v>
      </c>
      <c r="J554">
        <v>1386620</v>
      </c>
      <c r="K554">
        <v>35000</v>
      </c>
      <c r="L554" t="s">
        <v>137</v>
      </c>
      <c r="M554" t="s">
        <v>149</v>
      </c>
      <c r="N554" t="s">
        <v>156</v>
      </c>
    </row>
    <row r="555" spans="1:14" x14ac:dyDescent="0.25">
      <c r="A555" t="s">
        <v>1018</v>
      </c>
      <c r="B555" t="s">
        <v>705</v>
      </c>
      <c r="C555" t="s">
        <v>1396</v>
      </c>
      <c r="D555">
        <v>46089</v>
      </c>
      <c r="E555" t="s">
        <v>23</v>
      </c>
      <c r="F555" t="s">
        <v>1346</v>
      </c>
      <c r="G555" t="s">
        <v>147</v>
      </c>
      <c r="H555" t="s">
        <v>32</v>
      </c>
      <c r="I555">
        <v>5</v>
      </c>
      <c r="J555">
        <v>1391718</v>
      </c>
      <c r="K555">
        <v>50000</v>
      </c>
      <c r="L555" t="s">
        <v>137</v>
      </c>
      <c r="M555" t="s">
        <v>165</v>
      </c>
      <c r="N555" t="s">
        <v>156</v>
      </c>
    </row>
    <row r="556" spans="1:14" x14ac:dyDescent="0.25">
      <c r="A556" t="s">
        <v>1019</v>
      </c>
      <c r="B556" t="s">
        <v>289</v>
      </c>
      <c r="C556" t="s">
        <v>146</v>
      </c>
      <c r="D556">
        <v>46134</v>
      </c>
      <c r="E556" t="s">
        <v>31</v>
      </c>
      <c r="F556" t="s">
        <v>143</v>
      </c>
      <c r="G556" t="s">
        <v>169</v>
      </c>
      <c r="H556" t="s">
        <v>25</v>
      </c>
      <c r="I556">
        <v>3</v>
      </c>
      <c r="J556">
        <v>1272539</v>
      </c>
      <c r="K556">
        <v>15000</v>
      </c>
      <c r="L556" t="s">
        <v>137</v>
      </c>
      <c r="M556" t="s">
        <v>161</v>
      </c>
      <c r="N556" t="s">
        <v>139</v>
      </c>
    </row>
    <row r="557" spans="1:14" x14ac:dyDescent="0.25">
      <c r="A557" t="s">
        <v>1020</v>
      </c>
      <c r="B557" t="s">
        <v>207</v>
      </c>
      <c r="C557" t="s">
        <v>168</v>
      </c>
      <c r="D557">
        <v>46127</v>
      </c>
      <c r="E557" t="s">
        <v>34</v>
      </c>
      <c r="F557" t="s">
        <v>101</v>
      </c>
      <c r="G557" t="s">
        <v>147</v>
      </c>
      <c r="H557" t="s">
        <v>25</v>
      </c>
      <c r="I557">
        <v>7</v>
      </c>
      <c r="J557">
        <v>988792</v>
      </c>
      <c r="K557">
        <v>0</v>
      </c>
      <c r="L557" t="s">
        <v>137</v>
      </c>
      <c r="M557" t="s">
        <v>161</v>
      </c>
      <c r="N557" t="s">
        <v>156</v>
      </c>
    </row>
    <row r="558" spans="1:14" x14ac:dyDescent="0.25">
      <c r="A558" t="s">
        <v>1021</v>
      </c>
      <c r="B558" t="s">
        <v>580</v>
      </c>
      <c r="C558" t="s">
        <v>33</v>
      </c>
      <c r="D558">
        <v>46080</v>
      </c>
      <c r="E558" t="s">
        <v>27</v>
      </c>
      <c r="F558" t="s">
        <v>28</v>
      </c>
      <c r="G558" t="s">
        <v>147</v>
      </c>
      <c r="H558" t="s">
        <v>32</v>
      </c>
      <c r="I558">
        <v>2</v>
      </c>
      <c r="J558">
        <v>195803</v>
      </c>
      <c r="K558">
        <v>25000</v>
      </c>
      <c r="L558" t="s">
        <v>137</v>
      </c>
      <c r="M558" t="s">
        <v>161</v>
      </c>
      <c r="N558" t="s">
        <v>139</v>
      </c>
    </row>
    <row r="559" spans="1:14" x14ac:dyDescent="0.25">
      <c r="A559" t="s">
        <v>1022</v>
      </c>
      <c r="B559" t="s">
        <v>179</v>
      </c>
      <c r="C559" t="s">
        <v>180</v>
      </c>
      <c r="D559">
        <v>46122</v>
      </c>
      <c r="E559" t="s">
        <v>31</v>
      </c>
      <c r="F559" t="s">
        <v>143</v>
      </c>
      <c r="G559" t="s">
        <v>39</v>
      </c>
      <c r="H559" t="s">
        <v>32</v>
      </c>
      <c r="I559">
        <v>1</v>
      </c>
      <c r="J559">
        <v>2114823</v>
      </c>
      <c r="K559">
        <v>50000</v>
      </c>
      <c r="L559" t="s">
        <v>137</v>
      </c>
      <c r="M559" t="s">
        <v>161</v>
      </c>
      <c r="N559" t="s">
        <v>156</v>
      </c>
    </row>
    <row r="560" spans="1:14" x14ac:dyDescent="0.25">
      <c r="A560" t="s">
        <v>1023</v>
      </c>
      <c r="B560" t="s">
        <v>245</v>
      </c>
      <c r="C560" t="s">
        <v>246</v>
      </c>
      <c r="D560">
        <v>46201</v>
      </c>
      <c r="E560" t="s">
        <v>27</v>
      </c>
      <c r="F560" t="s">
        <v>160</v>
      </c>
      <c r="G560" t="s">
        <v>169</v>
      </c>
      <c r="H560" t="s">
        <v>32</v>
      </c>
      <c r="I560">
        <v>3</v>
      </c>
      <c r="J560">
        <v>833087</v>
      </c>
      <c r="K560">
        <v>35000</v>
      </c>
      <c r="L560" t="s">
        <v>137</v>
      </c>
      <c r="M560" t="s">
        <v>138</v>
      </c>
      <c r="N560" t="s">
        <v>139</v>
      </c>
    </row>
    <row r="561" spans="1:14" x14ac:dyDescent="0.25">
      <c r="A561" t="s">
        <v>1024</v>
      </c>
      <c r="B561" t="s">
        <v>443</v>
      </c>
      <c r="C561" t="s">
        <v>246</v>
      </c>
      <c r="D561">
        <v>46076</v>
      </c>
      <c r="E561" t="s">
        <v>31</v>
      </c>
      <c r="F561" t="s">
        <v>160</v>
      </c>
      <c r="G561" t="s">
        <v>177</v>
      </c>
      <c r="H561" t="s">
        <v>35</v>
      </c>
      <c r="I561">
        <v>3</v>
      </c>
      <c r="J561">
        <v>2341268</v>
      </c>
      <c r="K561">
        <v>25000</v>
      </c>
      <c r="L561" t="s">
        <v>137</v>
      </c>
      <c r="M561" t="s">
        <v>161</v>
      </c>
      <c r="N561" t="s">
        <v>156</v>
      </c>
    </row>
    <row r="562" spans="1:14" x14ac:dyDescent="0.25">
      <c r="A562" t="s">
        <v>1025</v>
      </c>
      <c r="B562" t="s">
        <v>1026</v>
      </c>
      <c r="C562" t="s">
        <v>135</v>
      </c>
      <c r="D562">
        <v>46113</v>
      </c>
      <c r="E562" t="s">
        <v>27</v>
      </c>
      <c r="F562" t="s">
        <v>28</v>
      </c>
      <c r="G562" t="s">
        <v>177</v>
      </c>
      <c r="H562" t="s">
        <v>32</v>
      </c>
      <c r="I562">
        <v>4</v>
      </c>
      <c r="J562">
        <v>2489330</v>
      </c>
      <c r="K562">
        <v>35000</v>
      </c>
      <c r="L562" t="s">
        <v>37</v>
      </c>
      <c r="M562" t="s">
        <v>149</v>
      </c>
      <c r="N562" t="s">
        <v>156</v>
      </c>
    </row>
    <row r="563" spans="1:14" x14ac:dyDescent="0.25">
      <c r="A563" t="s">
        <v>1027</v>
      </c>
      <c r="B563" t="s">
        <v>614</v>
      </c>
      <c r="C563" t="s">
        <v>22</v>
      </c>
      <c r="D563">
        <v>46178</v>
      </c>
      <c r="E563" t="s">
        <v>27</v>
      </c>
      <c r="F563" t="s">
        <v>1346</v>
      </c>
      <c r="G563" t="s">
        <v>177</v>
      </c>
      <c r="H563" t="s">
        <v>29</v>
      </c>
      <c r="I563">
        <v>4</v>
      </c>
      <c r="J563">
        <v>637971</v>
      </c>
      <c r="K563">
        <v>0</v>
      </c>
      <c r="L563" t="s">
        <v>137</v>
      </c>
      <c r="M563" t="s">
        <v>149</v>
      </c>
      <c r="N563" t="s">
        <v>139</v>
      </c>
    </row>
    <row r="564" spans="1:14" x14ac:dyDescent="0.25">
      <c r="A564" t="s">
        <v>1028</v>
      </c>
      <c r="B564" t="s">
        <v>1029</v>
      </c>
      <c r="C564" t="s">
        <v>441</v>
      </c>
      <c r="D564">
        <v>46127</v>
      </c>
      <c r="E564" t="s">
        <v>34</v>
      </c>
      <c r="F564" t="s">
        <v>160</v>
      </c>
      <c r="G564" t="s">
        <v>169</v>
      </c>
      <c r="H564" t="s">
        <v>25</v>
      </c>
      <c r="I564">
        <v>4</v>
      </c>
      <c r="J564">
        <v>1596498</v>
      </c>
      <c r="K564">
        <v>15000</v>
      </c>
      <c r="L564" t="s">
        <v>43</v>
      </c>
      <c r="M564" t="s">
        <v>161</v>
      </c>
      <c r="N564" t="s">
        <v>139</v>
      </c>
    </row>
    <row r="565" spans="1:14" x14ac:dyDescent="0.25">
      <c r="A565" t="s">
        <v>1030</v>
      </c>
      <c r="B565" t="s">
        <v>722</v>
      </c>
      <c r="C565" t="s">
        <v>1397</v>
      </c>
      <c r="D565">
        <v>46126</v>
      </c>
      <c r="E565" t="s">
        <v>18</v>
      </c>
      <c r="F565" t="s">
        <v>28</v>
      </c>
      <c r="G565" t="s">
        <v>136</v>
      </c>
      <c r="H565" t="s">
        <v>20</v>
      </c>
      <c r="I565">
        <v>3</v>
      </c>
      <c r="J565">
        <v>2195480</v>
      </c>
      <c r="K565">
        <v>35000</v>
      </c>
      <c r="L565" t="s">
        <v>148</v>
      </c>
      <c r="M565" t="s">
        <v>149</v>
      </c>
      <c r="N565" t="s">
        <v>139</v>
      </c>
    </row>
    <row r="566" spans="1:14" x14ac:dyDescent="0.25">
      <c r="A566" t="s">
        <v>1031</v>
      </c>
      <c r="B566" t="s">
        <v>1032</v>
      </c>
      <c r="C566" t="s">
        <v>441</v>
      </c>
      <c r="D566" t="s">
        <v>1398</v>
      </c>
      <c r="E566" t="s">
        <v>31</v>
      </c>
      <c r="F566" t="s">
        <v>28</v>
      </c>
      <c r="G566" t="s">
        <v>177</v>
      </c>
      <c r="H566" t="s">
        <v>20</v>
      </c>
      <c r="I566">
        <v>4</v>
      </c>
      <c r="J566">
        <v>842555</v>
      </c>
      <c r="K566">
        <v>0</v>
      </c>
      <c r="L566" t="s">
        <v>137</v>
      </c>
      <c r="M566" t="s">
        <v>138</v>
      </c>
      <c r="N566" t="s">
        <v>156</v>
      </c>
    </row>
    <row r="567" spans="1:14" x14ac:dyDescent="0.25">
      <c r="A567" t="s">
        <v>1033</v>
      </c>
      <c r="B567" t="s">
        <v>440</v>
      </c>
      <c r="C567" t="s">
        <v>441</v>
      </c>
      <c r="D567">
        <v>46179</v>
      </c>
      <c r="E567" t="s">
        <v>23</v>
      </c>
      <c r="F567" t="s">
        <v>1346</v>
      </c>
      <c r="G567" t="s">
        <v>147</v>
      </c>
      <c r="H567" t="s">
        <v>29</v>
      </c>
      <c r="I567">
        <v>5</v>
      </c>
      <c r="J567">
        <v>2231250</v>
      </c>
      <c r="K567">
        <v>0</v>
      </c>
      <c r="L567" t="s">
        <v>137</v>
      </c>
      <c r="M567" t="s">
        <v>138</v>
      </c>
      <c r="N567" t="s">
        <v>156</v>
      </c>
    </row>
    <row r="568" spans="1:14" x14ac:dyDescent="0.25">
      <c r="A568" t="s">
        <v>1034</v>
      </c>
      <c r="B568" t="s">
        <v>475</v>
      </c>
      <c r="C568" t="s">
        <v>213</v>
      </c>
      <c r="D568">
        <v>46183</v>
      </c>
      <c r="E568" t="s">
        <v>31</v>
      </c>
      <c r="F568" t="s">
        <v>143</v>
      </c>
      <c r="G568" t="s">
        <v>177</v>
      </c>
      <c r="H568" t="s">
        <v>32</v>
      </c>
      <c r="I568">
        <v>3</v>
      </c>
      <c r="J568">
        <v>2099348</v>
      </c>
      <c r="K568">
        <v>0</v>
      </c>
      <c r="L568" t="s">
        <v>137</v>
      </c>
      <c r="M568" t="s">
        <v>138</v>
      </c>
      <c r="N568" t="s">
        <v>139</v>
      </c>
    </row>
    <row r="569" spans="1:14" x14ac:dyDescent="0.25">
      <c r="A569" t="s">
        <v>1035</v>
      </c>
      <c r="B569" t="s">
        <v>267</v>
      </c>
      <c r="C569" t="s">
        <v>281</v>
      </c>
      <c r="D569">
        <v>46084</v>
      </c>
      <c r="E569" t="s">
        <v>34</v>
      </c>
      <c r="F569" t="s">
        <v>160</v>
      </c>
      <c r="G569" t="s">
        <v>173</v>
      </c>
      <c r="H569" t="s">
        <v>29</v>
      </c>
      <c r="I569">
        <v>6</v>
      </c>
      <c r="J569">
        <v>854888</v>
      </c>
      <c r="K569">
        <v>35000</v>
      </c>
      <c r="L569" t="s">
        <v>43</v>
      </c>
      <c r="M569" t="s">
        <v>161</v>
      </c>
      <c r="N569" t="s">
        <v>139</v>
      </c>
    </row>
    <row r="570" spans="1:14" x14ac:dyDescent="0.25">
      <c r="A570" t="s">
        <v>1036</v>
      </c>
      <c r="B570" t="s">
        <v>1037</v>
      </c>
      <c r="C570" t="s">
        <v>684</v>
      </c>
      <c r="D570">
        <v>46085</v>
      </c>
      <c r="E570" t="s">
        <v>23</v>
      </c>
      <c r="F570" t="s">
        <v>1346</v>
      </c>
      <c r="G570" t="s">
        <v>177</v>
      </c>
      <c r="H570" t="s">
        <v>29</v>
      </c>
      <c r="I570">
        <v>7</v>
      </c>
      <c r="J570">
        <v>1980816</v>
      </c>
      <c r="K570">
        <v>15000</v>
      </c>
      <c r="L570" t="s">
        <v>137</v>
      </c>
      <c r="M570" t="s">
        <v>138</v>
      </c>
      <c r="N570" t="s">
        <v>139</v>
      </c>
    </row>
    <row r="571" spans="1:14" x14ac:dyDescent="0.25">
      <c r="A571" t="s">
        <v>1038</v>
      </c>
      <c r="B571" t="s">
        <v>551</v>
      </c>
      <c r="C571" t="s">
        <v>452</v>
      </c>
      <c r="D571">
        <v>46040</v>
      </c>
      <c r="E571" t="s">
        <v>31</v>
      </c>
      <c r="F571" t="s">
        <v>28</v>
      </c>
      <c r="G571" t="s">
        <v>173</v>
      </c>
      <c r="H571" t="s">
        <v>32</v>
      </c>
      <c r="I571">
        <v>6</v>
      </c>
      <c r="J571">
        <v>148870</v>
      </c>
      <c r="K571">
        <v>0</v>
      </c>
      <c r="L571" t="s">
        <v>137</v>
      </c>
      <c r="M571" t="s">
        <v>165</v>
      </c>
      <c r="N571" t="s">
        <v>139</v>
      </c>
    </row>
    <row r="572" spans="1:14" x14ac:dyDescent="0.25">
      <c r="A572" t="s">
        <v>1039</v>
      </c>
      <c r="B572" t="s">
        <v>492</v>
      </c>
      <c r="C572" t="s">
        <v>146</v>
      </c>
      <c r="D572">
        <v>46160</v>
      </c>
      <c r="E572" t="s">
        <v>23</v>
      </c>
      <c r="F572" t="s">
        <v>1346</v>
      </c>
      <c r="G572" t="s">
        <v>39</v>
      </c>
      <c r="H572" t="s">
        <v>20</v>
      </c>
      <c r="I572">
        <v>6</v>
      </c>
      <c r="J572">
        <v>627435</v>
      </c>
      <c r="K572">
        <v>50000</v>
      </c>
      <c r="L572" t="s">
        <v>37</v>
      </c>
      <c r="M572" t="s">
        <v>165</v>
      </c>
      <c r="N572" t="s">
        <v>139</v>
      </c>
    </row>
    <row r="573" spans="1:14" x14ac:dyDescent="0.25">
      <c r="A573" t="s">
        <v>1040</v>
      </c>
      <c r="B573" t="s">
        <v>620</v>
      </c>
      <c r="C573" t="s">
        <v>277</v>
      </c>
      <c r="D573">
        <v>46153</v>
      </c>
      <c r="E573" t="s">
        <v>34</v>
      </c>
      <c r="F573" t="s">
        <v>160</v>
      </c>
      <c r="G573" t="s">
        <v>169</v>
      </c>
      <c r="H573" t="s">
        <v>29</v>
      </c>
      <c r="I573">
        <v>7</v>
      </c>
      <c r="J573" t="s">
        <v>1041</v>
      </c>
      <c r="K573">
        <v>35000</v>
      </c>
      <c r="L573" t="s">
        <v>137</v>
      </c>
      <c r="M573" t="s">
        <v>161</v>
      </c>
      <c r="N573" t="s">
        <v>139</v>
      </c>
    </row>
    <row r="574" spans="1:14" x14ac:dyDescent="0.25">
      <c r="A574" t="s">
        <v>1042</v>
      </c>
      <c r="B574" t="s">
        <v>191</v>
      </c>
      <c r="C574" t="s">
        <v>192</v>
      </c>
      <c r="D574">
        <v>46191</v>
      </c>
      <c r="E574" t="s">
        <v>23</v>
      </c>
      <c r="F574" t="s">
        <v>28</v>
      </c>
      <c r="G574" t="s">
        <v>169</v>
      </c>
      <c r="H574" t="s">
        <v>32</v>
      </c>
      <c r="I574">
        <v>2</v>
      </c>
      <c r="J574">
        <v>1545369</v>
      </c>
      <c r="K574">
        <v>15000</v>
      </c>
      <c r="L574" t="s">
        <v>148</v>
      </c>
      <c r="M574" t="s">
        <v>138</v>
      </c>
      <c r="N574" t="s">
        <v>156</v>
      </c>
    </row>
    <row r="575" spans="1:14" x14ac:dyDescent="0.25">
      <c r="A575" t="s">
        <v>1043</v>
      </c>
      <c r="B575" t="s">
        <v>925</v>
      </c>
      <c r="C575" t="s">
        <v>258</v>
      </c>
      <c r="D575">
        <v>46089</v>
      </c>
      <c r="E575" t="s">
        <v>34</v>
      </c>
      <c r="F575" t="s">
        <v>1346</v>
      </c>
      <c r="G575" t="s">
        <v>147</v>
      </c>
      <c r="H575" t="s">
        <v>20</v>
      </c>
      <c r="I575">
        <v>6</v>
      </c>
      <c r="J575">
        <v>1556309</v>
      </c>
      <c r="K575">
        <v>25000</v>
      </c>
      <c r="L575" t="s">
        <v>137</v>
      </c>
      <c r="M575" t="s">
        <v>165</v>
      </c>
      <c r="N575" t="s">
        <v>156</v>
      </c>
    </row>
    <row r="576" spans="1:14" x14ac:dyDescent="0.25">
      <c r="A576" t="s">
        <v>1044</v>
      </c>
      <c r="B576" t="s">
        <v>219</v>
      </c>
      <c r="C576" t="s">
        <v>220</v>
      </c>
      <c r="D576">
        <v>46156</v>
      </c>
      <c r="E576" t="s">
        <v>102</v>
      </c>
      <c r="F576" t="s">
        <v>143</v>
      </c>
      <c r="G576" t="s">
        <v>147</v>
      </c>
      <c r="H576" t="s">
        <v>25</v>
      </c>
      <c r="I576">
        <v>2</v>
      </c>
      <c r="J576">
        <v>1329764</v>
      </c>
      <c r="K576">
        <v>0</v>
      </c>
      <c r="L576" t="s">
        <v>148</v>
      </c>
      <c r="M576" t="s">
        <v>149</v>
      </c>
      <c r="N576" t="s">
        <v>139</v>
      </c>
    </row>
    <row r="577" spans="1:14" x14ac:dyDescent="0.25">
      <c r="A577" t="s">
        <v>1045</v>
      </c>
      <c r="B577" t="s">
        <v>582</v>
      </c>
      <c r="C577" t="s">
        <v>446</v>
      </c>
      <c r="D577">
        <v>46135</v>
      </c>
      <c r="E577" t="s">
        <v>31</v>
      </c>
      <c r="F577" t="s">
        <v>1346</v>
      </c>
      <c r="G577" t="s">
        <v>169</v>
      </c>
      <c r="H577" t="s">
        <v>29</v>
      </c>
      <c r="I577">
        <v>6</v>
      </c>
      <c r="J577">
        <v>1356814</v>
      </c>
      <c r="K577">
        <v>15000</v>
      </c>
      <c r="L577" t="s">
        <v>148</v>
      </c>
      <c r="M577" t="s">
        <v>165</v>
      </c>
      <c r="N577" t="s">
        <v>156</v>
      </c>
    </row>
    <row r="578" spans="1:14" x14ac:dyDescent="0.25">
      <c r="A578" t="s">
        <v>1046</v>
      </c>
      <c r="B578" t="s">
        <v>584</v>
      </c>
      <c r="C578" t="s">
        <v>189</v>
      </c>
      <c r="D578">
        <v>46077</v>
      </c>
      <c r="E578" t="s">
        <v>27</v>
      </c>
      <c r="F578" t="s">
        <v>28</v>
      </c>
      <c r="G578" t="s">
        <v>39</v>
      </c>
      <c r="H578" t="s">
        <v>35</v>
      </c>
      <c r="I578">
        <v>5</v>
      </c>
      <c r="J578">
        <v>1390691</v>
      </c>
      <c r="K578">
        <v>15000</v>
      </c>
      <c r="L578" t="s">
        <v>137</v>
      </c>
      <c r="M578" t="s">
        <v>138</v>
      </c>
      <c r="N578" t="s">
        <v>156</v>
      </c>
    </row>
    <row r="579" spans="1:14" x14ac:dyDescent="0.25">
      <c r="A579" t="s">
        <v>1047</v>
      </c>
      <c r="B579" t="s">
        <v>1002</v>
      </c>
      <c r="C579" t="s">
        <v>306</v>
      </c>
      <c r="D579">
        <v>46187</v>
      </c>
      <c r="E579" t="s">
        <v>31</v>
      </c>
      <c r="F579" t="s">
        <v>28</v>
      </c>
      <c r="G579" t="s">
        <v>169</v>
      </c>
      <c r="H579" t="s">
        <v>29</v>
      </c>
      <c r="I579">
        <v>7</v>
      </c>
      <c r="J579">
        <v>773794</v>
      </c>
      <c r="K579">
        <v>50000</v>
      </c>
      <c r="L579" t="s">
        <v>137</v>
      </c>
      <c r="M579" t="s">
        <v>138</v>
      </c>
      <c r="N579" t="s">
        <v>139</v>
      </c>
    </row>
    <row r="580" spans="1:14" x14ac:dyDescent="0.25">
      <c r="A580" t="s">
        <v>1048</v>
      </c>
      <c r="B580" t="s">
        <v>429</v>
      </c>
      <c r="C580" t="s">
        <v>164</v>
      </c>
      <c r="D580">
        <v>46146</v>
      </c>
      <c r="E580" t="s">
        <v>34</v>
      </c>
      <c r="F580" t="s">
        <v>143</v>
      </c>
      <c r="G580" t="s">
        <v>177</v>
      </c>
      <c r="H580" t="s">
        <v>29</v>
      </c>
      <c r="I580">
        <v>6</v>
      </c>
      <c r="J580">
        <v>1713300</v>
      </c>
      <c r="K580">
        <v>0</v>
      </c>
      <c r="L580" t="s">
        <v>43</v>
      </c>
      <c r="M580" t="s">
        <v>161</v>
      </c>
      <c r="N580" t="s">
        <v>139</v>
      </c>
    </row>
    <row r="581" spans="1:14" x14ac:dyDescent="0.25">
      <c r="A581" t="s">
        <v>1049</v>
      </c>
      <c r="B581" t="s">
        <v>622</v>
      </c>
      <c r="C581" t="s">
        <v>623</v>
      </c>
      <c r="D581">
        <v>46053</v>
      </c>
      <c r="E581" t="s">
        <v>23</v>
      </c>
      <c r="F581" t="s">
        <v>143</v>
      </c>
      <c r="G581" t="s">
        <v>169</v>
      </c>
      <c r="H581" t="s">
        <v>29</v>
      </c>
      <c r="I581">
        <v>4</v>
      </c>
      <c r="J581">
        <v>946035</v>
      </c>
      <c r="K581">
        <v>25000</v>
      </c>
      <c r="L581" t="s">
        <v>137</v>
      </c>
      <c r="M581" t="s">
        <v>165</v>
      </c>
      <c r="N581" t="s">
        <v>139</v>
      </c>
    </row>
    <row r="582" spans="1:14" x14ac:dyDescent="0.25">
      <c r="A582" t="s">
        <v>1050</v>
      </c>
      <c r="B582" t="s">
        <v>459</v>
      </c>
      <c r="C582" t="s">
        <v>317</v>
      </c>
      <c r="D582">
        <v>46031</v>
      </c>
      <c r="E582" t="s">
        <v>27</v>
      </c>
      <c r="F582" t="s">
        <v>160</v>
      </c>
      <c r="G582" t="s">
        <v>173</v>
      </c>
      <c r="H582" t="s">
        <v>32</v>
      </c>
      <c r="I582">
        <v>3</v>
      </c>
      <c r="J582">
        <v>1791393</v>
      </c>
      <c r="K582">
        <v>0</v>
      </c>
      <c r="L582" t="s">
        <v>137</v>
      </c>
      <c r="M582" t="s">
        <v>161</v>
      </c>
      <c r="N582" t="s">
        <v>156</v>
      </c>
    </row>
    <row r="583" spans="1:14" x14ac:dyDescent="0.25">
      <c r="A583" t="s">
        <v>1051</v>
      </c>
      <c r="B583" t="s">
        <v>736</v>
      </c>
      <c r="C583" t="s">
        <v>195</v>
      </c>
      <c r="E583" t="s">
        <v>23</v>
      </c>
      <c r="F583" t="s">
        <v>1346</v>
      </c>
      <c r="G583" t="s">
        <v>147</v>
      </c>
      <c r="H583" t="s">
        <v>25</v>
      </c>
      <c r="I583">
        <v>2</v>
      </c>
      <c r="J583">
        <v>886234</v>
      </c>
      <c r="K583">
        <v>15000</v>
      </c>
      <c r="L583" t="s">
        <v>137</v>
      </c>
      <c r="M583" t="s">
        <v>407</v>
      </c>
      <c r="N583" t="s">
        <v>156</v>
      </c>
    </row>
    <row r="584" spans="1:14" x14ac:dyDescent="0.25">
      <c r="A584" t="s">
        <v>1052</v>
      </c>
      <c r="B584" t="s">
        <v>253</v>
      </c>
      <c r="C584" t="s">
        <v>176</v>
      </c>
      <c r="D584">
        <v>46071</v>
      </c>
      <c r="E584" t="s">
        <v>18</v>
      </c>
      <c r="F584" t="s">
        <v>28</v>
      </c>
      <c r="G584" t="s">
        <v>39</v>
      </c>
      <c r="H584" t="s">
        <v>20</v>
      </c>
      <c r="I584">
        <v>5</v>
      </c>
      <c r="J584">
        <v>387046</v>
      </c>
      <c r="K584">
        <v>15000</v>
      </c>
      <c r="L584" t="s">
        <v>137</v>
      </c>
      <c r="M584" t="s">
        <v>161</v>
      </c>
      <c r="N584" t="s">
        <v>156</v>
      </c>
    </row>
    <row r="585" spans="1:14" x14ac:dyDescent="0.25">
      <c r="A585" t="s">
        <v>1053</v>
      </c>
      <c r="B585" t="s">
        <v>201</v>
      </c>
      <c r="C585" t="s">
        <v>202</v>
      </c>
      <c r="D585">
        <v>46185</v>
      </c>
      <c r="E585" t="s">
        <v>18</v>
      </c>
      <c r="F585" t="s">
        <v>160</v>
      </c>
      <c r="G585" t="s">
        <v>147</v>
      </c>
      <c r="H585" t="s">
        <v>35</v>
      </c>
      <c r="I585">
        <v>4</v>
      </c>
      <c r="J585">
        <v>426412</v>
      </c>
      <c r="K585">
        <v>15000</v>
      </c>
      <c r="L585" t="s">
        <v>137</v>
      </c>
      <c r="M585" t="s">
        <v>161</v>
      </c>
      <c r="N585" t="s">
        <v>156</v>
      </c>
    </row>
    <row r="586" spans="1:14" x14ac:dyDescent="0.25">
      <c r="A586" t="s">
        <v>1054</v>
      </c>
      <c r="B586" t="s">
        <v>242</v>
      </c>
      <c r="C586" t="s">
        <v>176</v>
      </c>
      <c r="D586">
        <v>46147</v>
      </c>
      <c r="E586" t="s">
        <v>23</v>
      </c>
      <c r="F586" t="s">
        <v>28</v>
      </c>
      <c r="G586" t="s">
        <v>169</v>
      </c>
      <c r="H586" t="s">
        <v>29</v>
      </c>
      <c r="I586">
        <v>1</v>
      </c>
      <c r="J586">
        <v>1378127</v>
      </c>
      <c r="K586">
        <v>50000</v>
      </c>
      <c r="L586" t="s">
        <v>137</v>
      </c>
      <c r="M586" t="s">
        <v>165</v>
      </c>
      <c r="N586" t="s">
        <v>139</v>
      </c>
    </row>
    <row r="587" spans="1:14" x14ac:dyDescent="0.25">
      <c r="A587" t="s">
        <v>1055</v>
      </c>
      <c r="B587" t="s">
        <v>618</v>
      </c>
      <c r="C587" t="s">
        <v>323</v>
      </c>
      <c r="D587">
        <v>46087</v>
      </c>
      <c r="E587" t="s">
        <v>27</v>
      </c>
      <c r="F587" t="s">
        <v>28</v>
      </c>
      <c r="G587" t="s">
        <v>147</v>
      </c>
      <c r="H587" t="s">
        <v>25</v>
      </c>
      <c r="I587">
        <v>3</v>
      </c>
      <c r="J587">
        <v>1827790</v>
      </c>
      <c r="K587">
        <v>50000</v>
      </c>
      <c r="L587" t="s">
        <v>137</v>
      </c>
      <c r="M587" t="s">
        <v>161</v>
      </c>
      <c r="N587" t="s">
        <v>139</v>
      </c>
    </row>
    <row r="588" spans="1:14" x14ac:dyDescent="0.25">
      <c r="A588" t="s">
        <v>1056</v>
      </c>
      <c r="B588" t="s">
        <v>233</v>
      </c>
      <c r="C588" t="s">
        <v>36</v>
      </c>
      <c r="D588">
        <v>46159</v>
      </c>
      <c r="E588" t="s">
        <v>31</v>
      </c>
      <c r="F588" t="s">
        <v>160</v>
      </c>
      <c r="G588" t="s">
        <v>177</v>
      </c>
      <c r="H588" t="s">
        <v>32</v>
      </c>
      <c r="J588">
        <v>1164473</v>
      </c>
      <c r="K588">
        <v>25000</v>
      </c>
      <c r="L588" t="s">
        <v>214</v>
      </c>
      <c r="M588" t="s">
        <v>138</v>
      </c>
      <c r="N588" t="s">
        <v>156</v>
      </c>
    </row>
    <row r="589" spans="1:14" x14ac:dyDescent="0.25">
      <c r="A589" t="s">
        <v>1057</v>
      </c>
      <c r="B589" t="s">
        <v>201</v>
      </c>
      <c r="C589" t="s">
        <v>202</v>
      </c>
      <c r="D589">
        <v>46153</v>
      </c>
      <c r="E589" t="s">
        <v>34</v>
      </c>
      <c r="F589" t="s">
        <v>160</v>
      </c>
      <c r="G589" t="s">
        <v>39</v>
      </c>
      <c r="H589" t="s">
        <v>25</v>
      </c>
      <c r="I589">
        <v>2</v>
      </c>
      <c r="J589">
        <v>2093446</v>
      </c>
      <c r="K589">
        <v>35000</v>
      </c>
      <c r="L589" t="s">
        <v>137</v>
      </c>
      <c r="M589" t="s">
        <v>138</v>
      </c>
      <c r="N589" t="s">
        <v>156</v>
      </c>
    </row>
    <row r="590" spans="1:14" x14ac:dyDescent="0.25">
      <c r="A590" t="s">
        <v>1058</v>
      </c>
      <c r="B590" t="s">
        <v>1059</v>
      </c>
      <c r="C590" t="s">
        <v>328</v>
      </c>
      <c r="D590">
        <v>46050</v>
      </c>
      <c r="E590" t="s">
        <v>27</v>
      </c>
      <c r="F590" t="s">
        <v>28</v>
      </c>
      <c r="G590" t="s">
        <v>173</v>
      </c>
      <c r="H590" t="s">
        <v>95</v>
      </c>
      <c r="I590">
        <v>3</v>
      </c>
      <c r="J590">
        <v>1092251</v>
      </c>
      <c r="K590">
        <v>15000</v>
      </c>
      <c r="L590" t="s">
        <v>137</v>
      </c>
      <c r="M590" t="s">
        <v>161</v>
      </c>
      <c r="N590" t="s">
        <v>156</v>
      </c>
    </row>
    <row r="591" spans="1:14" x14ac:dyDescent="0.25">
      <c r="A591" t="s">
        <v>1060</v>
      </c>
      <c r="B591" t="s">
        <v>705</v>
      </c>
      <c r="C591" t="s">
        <v>502</v>
      </c>
      <c r="D591">
        <v>46195</v>
      </c>
      <c r="E591" t="s">
        <v>18</v>
      </c>
      <c r="F591" t="s">
        <v>143</v>
      </c>
      <c r="G591" t="s">
        <v>147</v>
      </c>
      <c r="H591" t="s">
        <v>29</v>
      </c>
      <c r="I591">
        <v>2</v>
      </c>
      <c r="J591">
        <v>768429</v>
      </c>
      <c r="K591">
        <v>25000</v>
      </c>
      <c r="L591" t="s">
        <v>137</v>
      </c>
      <c r="M591" t="s">
        <v>390</v>
      </c>
      <c r="N591" t="s">
        <v>139</v>
      </c>
    </row>
    <row r="592" spans="1:14" x14ac:dyDescent="0.25">
      <c r="A592" t="s">
        <v>1061</v>
      </c>
      <c r="B592" t="s">
        <v>934</v>
      </c>
      <c r="C592" t="s">
        <v>380</v>
      </c>
      <c r="D592" t="s">
        <v>1399</v>
      </c>
      <c r="E592" t="s">
        <v>34</v>
      </c>
      <c r="F592" t="s">
        <v>1346</v>
      </c>
      <c r="G592" t="s">
        <v>177</v>
      </c>
      <c r="H592" t="s">
        <v>25</v>
      </c>
      <c r="I592">
        <v>2</v>
      </c>
      <c r="J592">
        <v>1868643</v>
      </c>
      <c r="K592">
        <v>25000</v>
      </c>
      <c r="L592" t="s">
        <v>43</v>
      </c>
      <c r="M592" t="s">
        <v>138</v>
      </c>
      <c r="N592" t="s">
        <v>139</v>
      </c>
    </row>
    <row r="593" spans="1:14" x14ac:dyDescent="0.25">
      <c r="A593" t="s">
        <v>1062</v>
      </c>
      <c r="B593" t="s">
        <v>222</v>
      </c>
      <c r="C593" t="s">
        <v>223</v>
      </c>
      <c r="D593">
        <v>46113</v>
      </c>
      <c r="E593" t="s">
        <v>31</v>
      </c>
      <c r="F593" t="s">
        <v>160</v>
      </c>
      <c r="G593" t="s">
        <v>39</v>
      </c>
      <c r="H593" t="s">
        <v>20</v>
      </c>
      <c r="I593">
        <v>3</v>
      </c>
      <c r="J593">
        <v>1442659</v>
      </c>
      <c r="K593">
        <v>35000</v>
      </c>
      <c r="L593" t="s">
        <v>137</v>
      </c>
      <c r="M593" t="s">
        <v>138</v>
      </c>
      <c r="N593" t="s">
        <v>139</v>
      </c>
    </row>
    <row r="594" spans="1:14" x14ac:dyDescent="0.25">
      <c r="A594" t="s">
        <v>1063</v>
      </c>
      <c r="B594" t="s">
        <v>678</v>
      </c>
      <c r="C594" t="s">
        <v>679</v>
      </c>
      <c r="D594">
        <v>46188</v>
      </c>
      <c r="E594" t="s">
        <v>18</v>
      </c>
      <c r="F594" t="s">
        <v>143</v>
      </c>
      <c r="G594" t="s">
        <v>169</v>
      </c>
      <c r="H594" t="s">
        <v>25</v>
      </c>
      <c r="I594">
        <v>7</v>
      </c>
      <c r="J594">
        <v>706910</v>
      </c>
      <c r="K594">
        <v>35000</v>
      </c>
      <c r="L594" t="s">
        <v>137</v>
      </c>
      <c r="M594" t="s">
        <v>165</v>
      </c>
      <c r="N594" t="s">
        <v>139</v>
      </c>
    </row>
    <row r="595" spans="1:14" x14ac:dyDescent="0.25">
      <c r="A595" t="s">
        <v>1064</v>
      </c>
      <c r="B595" t="s">
        <v>269</v>
      </c>
      <c r="C595" t="s">
        <v>180</v>
      </c>
      <c r="D595">
        <v>46118</v>
      </c>
      <c r="E595" t="s">
        <v>18</v>
      </c>
      <c r="F595" t="s">
        <v>143</v>
      </c>
      <c r="G595" t="s">
        <v>147</v>
      </c>
      <c r="H595" t="s">
        <v>35</v>
      </c>
      <c r="I595">
        <v>4</v>
      </c>
      <c r="J595">
        <v>219316</v>
      </c>
      <c r="K595">
        <v>25000</v>
      </c>
      <c r="L595" t="s">
        <v>148</v>
      </c>
      <c r="M595" t="s">
        <v>165</v>
      </c>
      <c r="N595" t="s">
        <v>139</v>
      </c>
    </row>
    <row r="596" spans="1:14" x14ac:dyDescent="0.25">
      <c r="A596" t="s">
        <v>1065</v>
      </c>
      <c r="B596" t="s">
        <v>1066</v>
      </c>
      <c r="C596" t="s">
        <v>146</v>
      </c>
      <c r="D596">
        <v>46093</v>
      </c>
      <c r="E596" t="s">
        <v>27</v>
      </c>
      <c r="F596" t="s">
        <v>28</v>
      </c>
      <c r="G596" t="s">
        <v>1400</v>
      </c>
      <c r="H596" t="s">
        <v>32</v>
      </c>
      <c r="I596">
        <v>2</v>
      </c>
      <c r="J596">
        <v>568096</v>
      </c>
      <c r="K596">
        <v>0</v>
      </c>
      <c r="L596" t="s">
        <v>262</v>
      </c>
      <c r="M596" t="s">
        <v>138</v>
      </c>
      <c r="N596" t="s">
        <v>139</v>
      </c>
    </row>
    <row r="597" spans="1:14" x14ac:dyDescent="0.25">
      <c r="A597" t="s">
        <v>1067</v>
      </c>
      <c r="B597" t="s">
        <v>486</v>
      </c>
      <c r="C597" t="s">
        <v>172</v>
      </c>
      <c r="D597">
        <v>46094</v>
      </c>
      <c r="E597" t="s">
        <v>27</v>
      </c>
      <c r="F597" t="s">
        <v>1346</v>
      </c>
      <c r="G597" t="s">
        <v>39</v>
      </c>
      <c r="H597" t="s">
        <v>25</v>
      </c>
      <c r="I597">
        <v>1</v>
      </c>
      <c r="J597">
        <v>1692943</v>
      </c>
      <c r="K597">
        <v>0</v>
      </c>
      <c r="L597" t="s">
        <v>137</v>
      </c>
      <c r="M597" t="s">
        <v>161</v>
      </c>
      <c r="N597" t="s">
        <v>156</v>
      </c>
    </row>
    <row r="598" spans="1:14" x14ac:dyDescent="0.25">
      <c r="A598" t="s">
        <v>1068</v>
      </c>
      <c r="B598" t="s">
        <v>257</v>
      </c>
      <c r="C598" t="s">
        <v>258</v>
      </c>
      <c r="D598">
        <v>46057</v>
      </c>
      <c r="E598" t="s">
        <v>18</v>
      </c>
      <c r="F598" t="s">
        <v>1346</v>
      </c>
      <c r="G598" t="s">
        <v>147</v>
      </c>
      <c r="H598" t="s">
        <v>104</v>
      </c>
      <c r="I598">
        <v>7</v>
      </c>
      <c r="J598">
        <v>430331</v>
      </c>
      <c r="K598">
        <v>25000</v>
      </c>
      <c r="L598" t="s">
        <v>137</v>
      </c>
      <c r="M598" t="s">
        <v>165</v>
      </c>
      <c r="N598" t="s">
        <v>156</v>
      </c>
    </row>
    <row r="599" spans="1:14" x14ac:dyDescent="0.25">
      <c r="A599" t="s">
        <v>1069</v>
      </c>
      <c r="B599" t="s">
        <v>683</v>
      </c>
      <c r="C599" t="s">
        <v>684</v>
      </c>
      <c r="D599">
        <v>46085</v>
      </c>
      <c r="E599" t="s">
        <v>27</v>
      </c>
      <c r="F599" t="s">
        <v>1346</v>
      </c>
      <c r="G599" t="s">
        <v>169</v>
      </c>
      <c r="H599" t="s">
        <v>20</v>
      </c>
      <c r="I599">
        <v>5</v>
      </c>
      <c r="J599">
        <v>1495069</v>
      </c>
      <c r="K599">
        <v>50000</v>
      </c>
      <c r="L599" t="s">
        <v>137</v>
      </c>
      <c r="M599" t="s">
        <v>161</v>
      </c>
      <c r="N599" t="s">
        <v>156</v>
      </c>
    </row>
    <row r="600" spans="1:14" x14ac:dyDescent="0.25">
      <c r="A600" t="s">
        <v>1070</v>
      </c>
      <c r="B600" t="s">
        <v>632</v>
      </c>
      <c r="C600" t="s">
        <v>314</v>
      </c>
      <c r="D600">
        <v>46040</v>
      </c>
      <c r="E600" t="s">
        <v>18</v>
      </c>
      <c r="F600" t="s">
        <v>1374</v>
      </c>
      <c r="G600" t="s">
        <v>39</v>
      </c>
      <c r="H600" t="s">
        <v>29</v>
      </c>
      <c r="I600">
        <v>7</v>
      </c>
      <c r="J600">
        <v>1436848</v>
      </c>
      <c r="K600">
        <v>25000</v>
      </c>
      <c r="L600" t="s">
        <v>137</v>
      </c>
      <c r="M600" t="s">
        <v>165</v>
      </c>
      <c r="N600" t="s">
        <v>139</v>
      </c>
    </row>
    <row r="601" spans="1:14" x14ac:dyDescent="0.25">
      <c r="A601" t="s">
        <v>1071</v>
      </c>
      <c r="B601" t="s">
        <v>644</v>
      </c>
      <c r="C601" t="s">
        <v>337</v>
      </c>
      <c r="D601">
        <v>46108</v>
      </c>
      <c r="E601" t="s">
        <v>18</v>
      </c>
      <c r="F601" t="s">
        <v>160</v>
      </c>
      <c r="G601" t="s">
        <v>169</v>
      </c>
      <c r="H601" t="s">
        <v>32</v>
      </c>
      <c r="I601">
        <v>3</v>
      </c>
      <c r="J601">
        <v>954604</v>
      </c>
      <c r="K601">
        <v>25000</v>
      </c>
      <c r="L601" t="s">
        <v>137</v>
      </c>
      <c r="M601" t="s">
        <v>149</v>
      </c>
      <c r="N601" t="s">
        <v>139</v>
      </c>
    </row>
    <row r="602" spans="1:14" x14ac:dyDescent="0.25">
      <c r="A602" t="s">
        <v>1072</v>
      </c>
      <c r="B602" t="s">
        <v>413</v>
      </c>
      <c r="C602" t="s">
        <v>210</v>
      </c>
      <c r="D602">
        <v>46147</v>
      </c>
      <c r="E602" t="s">
        <v>23</v>
      </c>
      <c r="F602" t="s">
        <v>28</v>
      </c>
      <c r="G602" t="s">
        <v>173</v>
      </c>
      <c r="H602" t="s">
        <v>35</v>
      </c>
      <c r="I602">
        <v>1</v>
      </c>
      <c r="K602">
        <v>50000</v>
      </c>
      <c r="L602" t="s">
        <v>43</v>
      </c>
      <c r="M602" t="s">
        <v>138</v>
      </c>
      <c r="N602" t="s">
        <v>139</v>
      </c>
    </row>
    <row r="603" spans="1:14" x14ac:dyDescent="0.25">
      <c r="A603" t="s">
        <v>1073</v>
      </c>
      <c r="B603" t="s">
        <v>467</v>
      </c>
      <c r="C603" t="s">
        <v>198</v>
      </c>
      <c r="D603">
        <v>46160</v>
      </c>
      <c r="E603" t="s">
        <v>23</v>
      </c>
      <c r="F603" t="s">
        <v>160</v>
      </c>
      <c r="G603" t="s">
        <v>147</v>
      </c>
      <c r="H603" t="s">
        <v>20</v>
      </c>
      <c r="I603">
        <v>5</v>
      </c>
      <c r="J603">
        <v>2183637</v>
      </c>
      <c r="K603">
        <v>25000</v>
      </c>
      <c r="L603" t="s">
        <v>137</v>
      </c>
      <c r="M603" t="s">
        <v>161</v>
      </c>
      <c r="N603" t="s">
        <v>156</v>
      </c>
    </row>
    <row r="604" spans="1:14" x14ac:dyDescent="0.25">
      <c r="A604" t="s">
        <v>1074</v>
      </c>
      <c r="B604" t="s">
        <v>389</v>
      </c>
      <c r="C604" t="s">
        <v>146</v>
      </c>
      <c r="D604">
        <v>46154</v>
      </c>
      <c r="E604" t="s">
        <v>23</v>
      </c>
      <c r="F604" t="s">
        <v>28</v>
      </c>
      <c r="G604" t="s">
        <v>1395</v>
      </c>
      <c r="H604" t="s">
        <v>32</v>
      </c>
      <c r="I604">
        <v>4</v>
      </c>
      <c r="J604">
        <v>487967</v>
      </c>
      <c r="K604">
        <v>50000</v>
      </c>
      <c r="L604" t="s">
        <v>137</v>
      </c>
      <c r="M604" t="s">
        <v>149</v>
      </c>
      <c r="N604" t="s">
        <v>139</v>
      </c>
    </row>
    <row r="605" spans="1:14" x14ac:dyDescent="0.25">
      <c r="A605" t="s">
        <v>1075</v>
      </c>
      <c r="B605" t="s">
        <v>1076</v>
      </c>
      <c r="C605" t="s">
        <v>441</v>
      </c>
      <c r="D605">
        <v>46061</v>
      </c>
      <c r="E605" t="s">
        <v>27</v>
      </c>
      <c r="F605" t="s">
        <v>28</v>
      </c>
      <c r="G605" t="s">
        <v>173</v>
      </c>
      <c r="H605" t="s">
        <v>32</v>
      </c>
      <c r="I605">
        <v>2</v>
      </c>
      <c r="J605">
        <v>1505921</v>
      </c>
      <c r="K605">
        <v>0</v>
      </c>
      <c r="L605" t="s">
        <v>137</v>
      </c>
      <c r="M605" t="s">
        <v>161</v>
      </c>
      <c r="N605" t="s">
        <v>139</v>
      </c>
    </row>
    <row r="606" spans="1:14" x14ac:dyDescent="0.25">
      <c r="A606" t="s">
        <v>1077</v>
      </c>
      <c r="B606" t="s">
        <v>207</v>
      </c>
      <c r="C606" t="s">
        <v>168</v>
      </c>
      <c r="D606">
        <v>46182</v>
      </c>
      <c r="E606" t="s">
        <v>34</v>
      </c>
      <c r="F606" t="s">
        <v>143</v>
      </c>
      <c r="G606" t="s">
        <v>147</v>
      </c>
      <c r="H606" t="s">
        <v>25</v>
      </c>
      <c r="I606">
        <v>1</v>
      </c>
      <c r="J606">
        <v>1755558</v>
      </c>
      <c r="K606">
        <v>0</v>
      </c>
      <c r="L606" t="s">
        <v>137</v>
      </c>
      <c r="M606" t="s">
        <v>138</v>
      </c>
      <c r="N606" t="s">
        <v>139</v>
      </c>
    </row>
    <row r="607" spans="1:14" x14ac:dyDescent="0.25">
      <c r="A607" t="s">
        <v>1078</v>
      </c>
      <c r="B607" t="s">
        <v>642</v>
      </c>
      <c r="C607" t="s">
        <v>272</v>
      </c>
      <c r="D607">
        <v>46193</v>
      </c>
      <c r="E607" t="s">
        <v>18</v>
      </c>
      <c r="F607" t="s">
        <v>143</v>
      </c>
      <c r="G607" t="s">
        <v>177</v>
      </c>
      <c r="H607" t="s">
        <v>25</v>
      </c>
      <c r="I607">
        <v>3</v>
      </c>
      <c r="J607">
        <v>960251</v>
      </c>
      <c r="K607">
        <v>50000</v>
      </c>
      <c r="L607" t="s">
        <v>148</v>
      </c>
      <c r="M607" t="s">
        <v>165</v>
      </c>
      <c r="N607" t="s">
        <v>156</v>
      </c>
    </row>
    <row r="608" spans="1:14" x14ac:dyDescent="0.25">
      <c r="A608" t="s">
        <v>1079</v>
      </c>
      <c r="B608" t="s">
        <v>286</v>
      </c>
      <c r="C608" t="s">
        <v>1401</v>
      </c>
      <c r="D608">
        <v>46029</v>
      </c>
      <c r="E608" t="s">
        <v>34</v>
      </c>
      <c r="F608" t="s">
        <v>1385</v>
      </c>
      <c r="G608" t="s">
        <v>136</v>
      </c>
      <c r="H608" t="s">
        <v>25</v>
      </c>
      <c r="I608">
        <v>7</v>
      </c>
      <c r="J608">
        <v>2357334</v>
      </c>
      <c r="K608">
        <v>50000</v>
      </c>
      <c r="L608" t="s">
        <v>137</v>
      </c>
      <c r="M608" t="s">
        <v>161</v>
      </c>
      <c r="N608" t="s">
        <v>156</v>
      </c>
    </row>
    <row r="609" spans="1:14" x14ac:dyDescent="0.25">
      <c r="A609" t="s">
        <v>1080</v>
      </c>
      <c r="B609" t="s">
        <v>506</v>
      </c>
      <c r="C609" t="s">
        <v>189</v>
      </c>
      <c r="D609">
        <v>46076</v>
      </c>
      <c r="E609" t="s">
        <v>18</v>
      </c>
      <c r="F609" t="s">
        <v>1346</v>
      </c>
      <c r="G609" t="s">
        <v>173</v>
      </c>
      <c r="H609" t="s">
        <v>29</v>
      </c>
      <c r="I609">
        <v>2</v>
      </c>
      <c r="J609">
        <v>965997</v>
      </c>
      <c r="K609">
        <v>25000</v>
      </c>
      <c r="L609" t="s">
        <v>137</v>
      </c>
      <c r="M609" t="s">
        <v>161</v>
      </c>
      <c r="N609" t="s">
        <v>139</v>
      </c>
    </row>
    <row r="610" spans="1:14" x14ac:dyDescent="0.25">
      <c r="A610" t="s">
        <v>1081</v>
      </c>
      <c r="B610" t="s">
        <v>469</v>
      </c>
      <c r="C610" t="s">
        <v>281</v>
      </c>
      <c r="D610">
        <v>46119</v>
      </c>
      <c r="E610" t="s">
        <v>31</v>
      </c>
      <c r="F610" t="s">
        <v>160</v>
      </c>
      <c r="G610" t="s">
        <v>39</v>
      </c>
      <c r="H610" t="s">
        <v>32</v>
      </c>
      <c r="I610">
        <v>7</v>
      </c>
      <c r="J610">
        <v>226635</v>
      </c>
      <c r="K610">
        <v>35000</v>
      </c>
      <c r="L610" t="s">
        <v>137</v>
      </c>
      <c r="M610" t="s">
        <v>138</v>
      </c>
      <c r="N610" t="s">
        <v>139</v>
      </c>
    </row>
    <row r="611" spans="1:14" x14ac:dyDescent="0.25">
      <c r="A611" t="s">
        <v>1082</v>
      </c>
      <c r="B611" t="s">
        <v>800</v>
      </c>
      <c r="C611" t="s">
        <v>192</v>
      </c>
      <c r="D611">
        <v>46075</v>
      </c>
      <c r="E611" t="s">
        <v>27</v>
      </c>
      <c r="F611" t="s">
        <v>160</v>
      </c>
      <c r="G611" t="s">
        <v>177</v>
      </c>
      <c r="H611" t="s">
        <v>29</v>
      </c>
      <c r="I611">
        <v>7</v>
      </c>
      <c r="J611">
        <v>1715953</v>
      </c>
      <c r="K611">
        <v>50000</v>
      </c>
      <c r="L611" t="s">
        <v>137</v>
      </c>
      <c r="M611" t="s">
        <v>149</v>
      </c>
      <c r="N611" t="s">
        <v>156</v>
      </c>
    </row>
    <row r="612" spans="1:14" x14ac:dyDescent="0.25">
      <c r="A612" t="s">
        <v>1083</v>
      </c>
      <c r="B612" t="s">
        <v>835</v>
      </c>
      <c r="C612" t="s">
        <v>297</v>
      </c>
      <c r="D612">
        <v>46177</v>
      </c>
      <c r="E612" t="s">
        <v>27</v>
      </c>
      <c r="F612" t="s">
        <v>1346</v>
      </c>
      <c r="G612" t="s">
        <v>39</v>
      </c>
      <c r="H612" t="s">
        <v>25</v>
      </c>
      <c r="I612">
        <v>4</v>
      </c>
      <c r="J612">
        <v>1623198</v>
      </c>
      <c r="K612">
        <v>25000</v>
      </c>
      <c r="L612" t="s">
        <v>137</v>
      </c>
      <c r="M612" t="s">
        <v>149</v>
      </c>
      <c r="N612" t="s">
        <v>156</v>
      </c>
    </row>
    <row r="613" spans="1:14" x14ac:dyDescent="0.25">
      <c r="A613" t="s">
        <v>1084</v>
      </c>
      <c r="B613" t="s">
        <v>353</v>
      </c>
      <c r="C613" t="s">
        <v>202</v>
      </c>
      <c r="D613" t="s">
        <v>1402</v>
      </c>
      <c r="E613" t="s">
        <v>23</v>
      </c>
      <c r="F613" t="s">
        <v>1346</v>
      </c>
      <c r="G613" t="s">
        <v>136</v>
      </c>
      <c r="H613" t="s">
        <v>25</v>
      </c>
      <c r="I613">
        <v>7</v>
      </c>
      <c r="J613">
        <v>150432</v>
      </c>
      <c r="K613">
        <v>35000</v>
      </c>
      <c r="L613" t="s">
        <v>137</v>
      </c>
      <c r="M613" t="s">
        <v>149</v>
      </c>
      <c r="N613" t="s">
        <v>156</v>
      </c>
    </row>
    <row r="614" spans="1:14" x14ac:dyDescent="0.25">
      <c r="A614" t="s">
        <v>1085</v>
      </c>
      <c r="B614" t="s">
        <v>479</v>
      </c>
      <c r="C614" t="s">
        <v>164</v>
      </c>
      <c r="D614">
        <v>46189</v>
      </c>
      <c r="E614" t="s">
        <v>31</v>
      </c>
      <c r="F614" t="s">
        <v>28</v>
      </c>
      <c r="G614" t="s">
        <v>173</v>
      </c>
      <c r="H614" t="s">
        <v>25</v>
      </c>
      <c r="I614">
        <v>6</v>
      </c>
      <c r="J614" t="s">
        <v>1086</v>
      </c>
      <c r="K614">
        <v>15000</v>
      </c>
      <c r="L614" t="s">
        <v>137</v>
      </c>
      <c r="M614" t="s">
        <v>138</v>
      </c>
      <c r="N614" t="s">
        <v>139</v>
      </c>
    </row>
    <row r="615" spans="1:14" x14ac:dyDescent="0.25">
      <c r="A615" t="s">
        <v>1087</v>
      </c>
      <c r="B615" t="s">
        <v>154</v>
      </c>
      <c r="C615" t="s">
        <v>155</v>
      </c>
      <c r="D615">
        <v>46059</v>
      </c>
      <c r="E615" t="s">
        <v>18</v>
      </c>
      <c r="F615" t="s">
        <v>28</v>
      </c>
      <c r="G615" t="s">
        <v>173</v>
      </c>
      <c r="H615" t="s">
        <v>20</v>
      </c>
      <c r="I615">
        <v>5</v>
      </c>
      <c r="J615">
        <v>1164373</v>
      </c>
      <c r="K615">
        <v>15000</v>
      </c>
      <c r="L615" t="s">
        <v>137</v>
      </c>
      <c r="M615" t="s">
        <v>138</v>
      </c>
      <c r="N615" t="s">
        <v>156</v>
      </c>
    </row>
    <row r="616" spans="1:14" x14ac:dyDescent="0.25">
      <c r="A616" t="s">
        <v>1088</v>
      </c>
      <c r="B616" t="s">
        <v>473</v>
      </c>
      <c r="C616" t="s">
        <v>1403</v>
      </c>
      <c r="D616">
        <v>46192</v>
      </c>
      <c r="E616" t="s">
        <v>18</v>
      </c>
      <c r="F616" t="s">
        <v>143</v>
      </c>
      <c r="G616" t="s">
        <v>147</v>
      </c>
      <c r="H616" t="s">
        <v>29</v>
      </c>
      <c r="I616">
        <v>5</v>
      </c>
      <c r="J616">
        <v>1349285</v>
      </c>
      <c r="K616">
        <v>25000</v>
      </c>
      <c r="L616" t="s">
        <v>137</v>
      </c>
      <c r="M616" t="s">
        <v>161</v>
      </c>
      <c r="N616" t="s">
        <v>156</v>
      </c>
    </row>
    <row r="617" spans="1:14" x14ac:dyDescent="0.25">
      <c r="A617" t="s">
        <v>1089</v>
      </c>
      <c r="B617" t="s">
        <v>322</v>
      </c>
      <c r="C617" t="s">
        <v>323</v>
      </c>
      <c r="D617">
        <v>46051</v>
      </c>
      <c r="E617" t="s">
        <v>34</v>
      </c>
      <c r="F617" t="s">
        <v>1346</v>
      </c>
      <c r="G617" t="s">
        <v>147</v>
      </c>
      <c r="H617" t="s">
        <v>25</v>
      </c>
      <c r="I617">
        <v>4</v>
      </c>
      <c r="J617">
        <v>801044</v>
      </c>
      <c r="K617">
        <v>0</v>
      </c>
      <c r="L617" t="s">
        <v>137</v>
      </c>
      <c r="M617" t="s">
        <v>138</v>
      </c>
      <c r="N617" t="s">
        <v>156</v>
      </c>
    </row>
    <row r="618" spans="1:14" x14ac:dyDescent="0.25">
      <c r="A618" t="s">
        <v>1090</v>
      </c>
      <c r="B618" t="s">
        <v>431</v>
      </c>
      <c r="C618" t="s">
        <v>340</v>
      </c>
      <c r="D618">
        <v>46029</v>
      </c>
      <c r="E618" t="s">
        <v>31</v>
      </c>
      <c r="F618" t="s">
        <v>160</v>
      </c>
      <c r="G618" t="s">
        <v>147</v>
      </c>
      <c r="H618" t="s">
        <v>32</v>
      </c>
      <c r="I618">
        <v>4</v>
      </c>
      <c r="J618">
        <v>1510755</v>
      </c>
      <c r="K618">
        <v>0</v>
      </c>
      <c r="L618" t="s">
        <v>137</v>
      </c>
      <c r="M618" t="s">
        <v>165</v>
      </c>
      <c r="N618" t="s">
        <v>156</v>
      </c>
    </row>
    <row r="619" spans="1:14" x14ac:dyDescent="0.25">
      <c r="A619" t="s">
        <v>1091</v>
      </c>
      <c r="B619" t="s">
        <v>795</v>
      </c>
      <c r="C619" t="s">
        <v>435</v>
      </c>
      <c r="D619">
        <v>46048</v>
      </c>
      <c r="E619" t="s">
        <v>23</v>
      </c>
      <c r="F619" t="s">
        <v>28</v>
      </c>
      <c r="G619" t="s">
        <v>39</v>
      </c>
      <c r="H619" t="s">
        <v>32</v>
      </c>
      <c r="I619">
        <v>2</v>
      </c>
      <c r="J619">
        <v>182656</v>
      </c>
      <c r="K619">
        <v>25000</v>
      </c>
      <c r="L619" t="s">
        <v>137</v>
      </c>
      <c r="M619" t="s">
        <v>149</v>
      </c>
      <c r="N619" t="s">
        <v>139</v>
      </c>
    </row>
    <row r="620" spans="1:14" x14ac:dyDescent="0.25">
      <c r="A620" t="s">
        <v>1092</v>
      </c>
      <c r="B620" t="s">
        <v>330</v>
      </c>
      <c r="C620" t="s">
        <v>331</v>
      </c>
      <c r="D620">
        <v>46177</v>
      </c>
      <c r="E620" t="s">
        <v>18</v>
      </c>
      <c r="F620" t="s">
        <v>1346</v>
      </c>
      <c r="G620" t="s">
        <v>169</v>
      </c>
      <c r="H620" t="s">
        <v>35</v>
      </c>
      <c r="I620">
        <v>4</v>
      </c>
      <c r="J620">
        <v>123026</v>
      </c>
      <c r="K620">
        <v>25000</v>
      </c>
      <c r="L620" t="s">
        <v>137</v>
      </c>
      <c r="M620" t="s">
        <v>165</v>
      </c>
      <c r="N620" t="s">
        <v>139</v>
      </c>
    </row>
    <row r="621" spans="1:14" x14ac:dyDescent="0.25">
      <c r="A621" t="s">
        <v>1093</v>
      </c>
      <c r="B621" t="s">
        <v>777</v>
      </c>
      <c r="C621" t="s">
        <v>246</v>
      </c>
      <c r="D621">
        <v>46194</v>
      </c>
      <c r="E621" t="s">
        <v>18</v>
      </c>
      <c r="F621" t="s">
        <v>143</v>
      </c>
      <c r="G621" t="s">
        <v>177</v>
      </c>
      <c r="H621" t="s">
        <v>35</v>
      </c>
      <c r="I621">
        <v>4</v>
      </c>
      <c r="J621">
        <v>524323</v>
      </c>
      <c r="K621">
        <v>35000</v>
      </c>
      <c r="L621" t="s">
        <v>137</v>
      </c>
      <c r="M621" t="s">
        <v>165</v>
      </c>
      <c r="N621" t="s">
        <v>156</v>
      </c>
    </row>
    <row r="622" spans="1:14" x14ac:dyDescent="0.25">
      <c r="A622" t="s">
        <v>1094</v>
      </c>
      <c r="B622" t="s">
        <v>629</v>
      </c>
      <c r="C622" t="s">
        <v>441</v>
      </c>
      <c r="D622">
        <v>46059</v>
      </c>
      <c r="E622" t="s">
        <v>27</v>
      </c>
      <c r="F622" t="s">
        <v>160</v>
      </c>
      <c r="G622" t="s">
        <v>177</v>
      </c>
      <c r="H622" t="s">
        <v>29</v>
      </c>
      <c r="I622">
        <v>6</v>
      </c>
      <c r="J622">
        <v>1066032</v>
      </c>
      <c r="K622">
        <v>0</v>
      </c>
      <c r="L622" t="s">
        <v>137</v>
      </c>
      <c r="N622" t="s">
        <v>139</v>
      </c>
    </row>
    <row r="623" spans="1:14" x14ac:dyDescent="0.25">
      <c r="A623" t="s">
        <v>1095</v>
      </c>
      <c r="B623" t="s">
        <v>260</v>
      </c>
      <c r="C623" t="s">
        <v>261</v>
      </c>
      <c r="D623">
        <v>46191</v>
      </c>
      <c r="E623" t="s">
        <v>27</v>
      </c>
      <c r="F623" t="s">
        <v>1346</v>
      </c>
      <c r="G623" t="s">
        <v>177</v>
      </c>
      <c r="H623" t="s">
        <v>25</v>
      </c>
      <c r="I623">
        <v>6</v>
      </c>
      <c r="J623">
        <v>1382939</v>
      </c>
      <c r="K623">
        <v>25000</v>
      </c>
      <c r="L623" t="s">
        <v>37</v>
      </c>
      <c r="M623" t="s">
        <v>165</v>
      </c>
      <c r="N623" t="s">
        <v>139</v>
      </c>
    </row>
    <row r="624" spans="1:14" x14ac:dyDescent="0.25">
      <c r="A624" t="s">
        <v>1096</v>
      </c>
      <c r="B624" t="s">
        <v>237</v>
      </c>
      <c r="C624" t="s">
        <v>205</v>
      </c>
      <c r="D624">
        <v>46192</v>
      </c>
      <c r="E624" t="s">
        <v>31</v>
      </c>
      <c r="F624" t="s">
        <v>160</v>
      </c>
      <c r="G624" t="s">
        <v>177</v>
      </c>
      <c r="H624" t="s">
        <v>29</v>
      </c>
      <c r="I624">
        <v>6</v>
      </c>
      <c r="J624">
        <v>729101</v>
      </c>
      <c r="K624">
        <v>50000</v>
      </c>
      <c r="L624" t="s">
        <v>43</v>
      </c>
      <c r="M624" t="s">
        <v>161</v>
      </c>
      <c r="N624" t="s">
        <v>156</v>
      </c>
    </row>
    <row r="625" spans="1:14" x14ac:dyDescent="0.25">
      <c r="A625" t="s">
        <v>1097</v>
      </c>
      <c r="B625" t="s">
        <v>225</v>
      </c>
      <c r="C625" t="s">
        <v>226</v>
      </c>
      <c r="D625">
        <v>46185</v>
      </c>
      <c r="E625" t="s">
        <v>31</v>
      </c>
      <c r="F625" t="s">
        <v>28</v>
      </c>
      <c r="G625" t="s">
        <v>136</v>
      </c>
      <c r="H625" t="s">
        <v>29</v>
      </c>
      <c r="I625">
        <v>2</v>
      </c>
      <c r="J625">
        <v>263084</v>
      </c>
      <c r="K625">
        <v>15000</v>
      </c>
      <c r="L625" t="s">
        <v>137</v>
      </c>
      <c r="M625" t="s">
        <v>161</v>
      </c>
      <c r="N625" t="s">
        <v>139</v>
      </c>
    </row>
    <row r="626" spans="1:14" x14ac:dyDescent="0.25">
      <c r="A626" t="s">
        <v>1098</v>
      </c>
      <c r="B626" t="s">
        <v>185</v>
      </c>
      <c r="C626" t="s">
        <v>164</v>
      </c>
      <c r="D626">
        <v>46077</v>
      </c>
      <c r="E626" t="s">
        <v>34</v>
      </c>
      <c r="F626" t="s">
        <v>1346</v>
      </c>
      <c r="G626" t="s">
        <v>136</v>
      </c>
      <c r="H626" t="s">
        <v>29</v>
      </c>
      <c r="I626">
        <v>3</v>
      </c>
      <c r="J626">
        <v>2020831</v>
      </c>
      <c r="K626">
        <v>50000</v>
      </c>
      <c r="L626" t="s">
        <v>137</v>
      </c>
      <c r="M626" t="s">
        <v>199</v>
      </c>
      <c r="N626" t="s">
        <v>139</v>
      </c>
    </row>
    <row r="627" spans="1:14" x14ac:dyDescent="0.25">
      <c r="A627" t="s">
        <v>1099</v>
      </c>
      <c r="B627" t="s">
        <v>410</v>
      </c>
      <c r="C627" t="s">
        <v>411</v>
      </c>
      <c r="D627">
        <v>46147</v>
      </c>
      <c r="E627" t="s">
        <v>27</v>
      </c>
      <c r="F627" t="s">
        <v>1346</v>
      </c>
      <c r="G627" t="s">
        <v>173</v>
      </c>
      <c r="H627" t="s">
        <v>25</v>
      </c>
      <c r="I627">
        <v>6</v>
      </c>
      <c r="J627">
        <v>2422256</v>
      </c>
      <c r="K627">
        <v>35000</v>
      </c>
      <c r="L627" t="s">
        <v>137</v>
      </c>
      <c r="M627" t="s">
        <v>165</v>
      </c>
      <c r="N627" t="s">
        <v>139</v>
      </c>
    </row>
    <row r="628" spans="1:14" x14ac:dyDescent="0.25">
      <c r="A628" t="s">
        <v>1100</v>
      </c>
      <c r="B628" t="s">
        <v>708</v>
      </c>
      <c r="C628" t="s">
        <v>220</v>
      </c>
      <c r="D628">
        <v>46029</v>
      </c>
      <c r="E628" t="s">
        <v>105</v>
      </c>
      <c r="F628" t="s">
        <v>160</v>
      </c>
      <c r="G628" t="s">
        <v>147</v>
      </c>
      <c r="H628" t="s">
        <v>25</v>
      </c>
      <c r="I628">
        <v>1</v>
      </c>
      <c r="J628">
        <v>2398844</v>
      </c>
      <c r="K628">
        <v>15000</v>
      </c>
      <c r="L628" t="s">
        <v>137</v>
      </c>
      <c r="M628" t="s">
        <v>138</v>
      </c>
      <c r="N628" t="s">
        <v>156</v>
      </c>
    </row>
    <row r="629" spans="1:14" x14ac:dyDescent="0.25">
      <c r="A629" t="s">
        <v>1101</v>
      </c>
      <c r="B629" t="s">
        <v>356</v>
      </c>
      <c r="C629" t="s">
        <v>357</v>
      </c>
      <c r="D629">
        <v>46111</v>
      </c>
      <c r="E629" t="s">
        <v>27</v>
      </c>
      <c r="F629" t="s">
        <v>143</v>
      </c>
      <c r="G629" t="s">
        <v>39</v>
      </c>
      <c r="H629" t="s">
        <v>35</v>
      </c>
      <c r="I629">
        <v>4</v>
      </c>
      <c r="J629">
        <v>1407778</v>
      </c>
      <c r="K629">
        <v>35000</v>
      </c>
      <c r="L629" t="s">
        <v>137</v>
      </c>
      <c r="M629" t="s">
        <v>149</v>
      </c>
      <c r="N629" t="s">
        <v>156</v>
      </c>
    </row>
    <row r="630" spans="1:14" x14ac:dyDescent="0.25">
      <c r="A630" t="s">
        <v>1102</v>
      </c>
      <c r="B630" t="s">
        <v>225</v>
      </c>
      <c r="C630" t="s">
        <v>226</v>
      </c>
      <c r="D630">
        <v>46197</v>
      </c>
      <c r="E630" t="s">
        <v>27</v>
      </c>
      <c r="F630" t="s">
        <v>143</v>
      </c>
      <c r="G630" t="s">
        <v>147</v>
      </c>
      <c r="H630" t="s">
        <v>35</v>
      </c>
      <c r="I630">
        <v>2</v>
      </c>
      <c r="J630">
        <v>1050536</v>
      </c>
      <c r="K630">
        <v>0</v>
      </c>
      <c r="L630" t="s">
        <v>137</v>
      </c>
      <c r="M630" t="s">
        <v>138</v>
      </c>
      <c r="N630" t="s">
        <v>156</v>
      </c>
    </row>
    <row r="631" spans="1:14" x14ac:dyDescent="0.25">
      <c r="A631" t="s">
        <v>1103</v>
      </c>
      <c r="B631" t="s">
        <v>389</v>
      </c>
      <c r="C631" t="s">
        <v>146</v>
      </c>
      <c r="D631">
        <v>46159</v>
      </c>
      <c r="E631" t="s">
        <v>18</v>
      </c>
      <c r="F631" t="s">
        <v>1346</v>
      </c>
      <c r="G631" t="s">
        <v>177</v>
      </c>
      <c r="H631" t="s">
        <v>20</v>
      </c>
      <c r="I631">
        <v>2</v>
      </c>
      <c r="J631">
        <v>1641090</v>
      </c>
      <c r="K631">
        <v>50000</v>
      </c>
      <c r="L631" t="s">
        <v>214</v>
      </c>
      <c r="M631" t="s">
        <v>149</v>
      </c>
      <c r="N631" t="s">
        <v>156</v>
      </c>
    </row>
    <row r="632" spans="1:14" x14ac:dyDescent="0.25">
      <c r="A632" t="s">
        <v>1104</v>
      </c>
      <c r="B632" t="s">
        <v>943</v>
      </c>
      <c r="C632" t="s">
        <v>435</v>
      </c>
      <c r="D632">
        <v>46185</v>
      </c>
      <c r="E632" t="s">
        <v>18</v>
      </c>
      <c r="F632" t="s">
        <v>1346</v>
      </c>
      <c r="G632" t="s">
        <v>173</v>
      </c>
      <c r="H632" t="s">
        <v>32</v>
      </c>
      <c r="I632">
        <v>5</v>
      </c>
      <c r="J632">
        <v>1068992</v>
      </c>
      <c r="K632">
        <v>15000</v>
      </c>
      <c r="L632" t="s">
        <v>43</v>
      </c>
      <c r="M632" t="s">
        <v>138</v>
      </c>
      <c r="N632" t="s">
        <v>139</v>
      </c>
    </row>
    <row r="633" spans="1:14" x14ac:dyDescent="0.25">
      <c r="A633" t="s">
        <v>1105</v>
      </c>
      <c r="B633" t="s">
        <v>498</v>
      </c>
      <c r="C633" t="s">
        <v>320</v>
      </c>
      <c r="D633">
        <v>46156</v>
      </c>
      <c r="E633" t="s">
        <v>106</v>
      </c>
      <c r="F633" t="s">
        <v>160</v>
      </c>
      <c r="G633" t="s">
        <v>173</v>
      </c>
      <c r="H633" t="s">
        <v>95</v>
      </c>
      <c r="I633">
        <v>4</v>
      </c>
      <c r="J633">
        <v>1886909</v>
      </c>
      <c r="K633">
        <v>35000</v>
      </c>
      <c r="L633" t="s">
        <v>137</v>
      </c>
      <c r="M633" t="s">
        <v>138</v>
      </c>
      <c r="N633" t="s">
        <v>139</v>
      </c>
    </row>
    <row r="634" spans="1:14" x14ac:dyDescent="0.25">
      <c r="A634" t="s">
        <v>1106</v>
      </c>
      <c r="B634" t="s">
        <v>416</v>
      </c>
      <c r="C634" t="s">
        <v>350</v>
      </c>
      <c r="D634">
        <v>46179</v>
      </c>
      <c r="E634" t="s">
        <v>18</v>
      </c>
      <c r="F634" t="s">
        <v>143</v>
      </c>
      <c r="G634" t="s">
        <v>39</v>
      </c>
      <c r="H634" t="s">
        <v>29</v>
      </c>
      <c r="I634">
        <v>7</v>
      </c>
      <c r="J634">
        <v>400241</v>
      </c>
      <c r="K634">
        <v>0</v>
      </c>
      <c r="L634" t="s">
        <v>137</v>
      </c>
      <c r="M634" t="s">
        <v>161</v>
      </c>
      <c r="N634" t="s">
        <v>139</v>
      </c>
    </row>
    <row r="635" spans="1:14" x14ac:dyDescent="0.25">
      <c r="A635" t="s">
        <v>1107</v>
      </c>
      <c r="B635" t="s">
        <v>811</v>
      </c>
      <c r="C635" t="s">
        <v>17</v>
      </c>
      <c r="D635">
        <v>46174</v>
      </c>
      <c r="E635" t="s">
        <v>34</v>
      </c>
      <c r="F635" t="s">
        <v>143</v>
      </c>
      <c r="G635" t="s">
        <v>39</v>
      </c>
      <c r="H635" t="s">
        <v>20</v>
      </c>
      <c r="I635">
        <v>7</v>
      </c>
      <c r="J635">
        <v>931058</v>
      </c>
      <c r="K635">
        <v>15000</v>
      </c>
      <c r="L635" t="s">
        <v>137</v>
      </c>
      <c r="M635" t="s">
        <v>161</v>
      </c>
      <c r="N635" t="s">
        <v>156</v>
      </c>
    </row>
    <row r="636" spans="1:14" x14ac:dyDescent="0.25">
      <c r="A636" t="s">
        <v>1108</v>
      </c>
      <c r="B636" t="s">
        <v>897</v>
      </c>
      <c r="C636" t="s">
        <v>456</v>
      </c>
      <c r="D636">
        <v>46136</v>
      </c>
      <c r="E636" t="s">
        <v>27</v>
      </c>
      <c r="F636" t="s">
        <v>1346</v>
      </c>
      <c r="G636" t="s">
        <v>147</v>
      </c>
      <c r="H636" t="s">
        <v>20</v>
      </c>
      <c r="I636">
        <v>7</v>
      </c>
      <c r="J636">
        <v>717304</v>
      </c>
      <c r="K636">
        <v>25000</v>
      </c>
      <c r="L636" t="s">
        <v>137</v>
      </c>
      <c r="M636" t="s">
        <v>138</v>
      </c>
      <c r="N636" t="s">
        <v>139</v>
      </c>
    </row>
    <row r="637" spans="1:14" x14ac:dyDescent="0.25">
      <c r="A637" t="s">
        <v>1109</v>
      </c>
      <c r="B637" t="s">
        <v>558</v>
      </c>
      <c r="C637" t="s">
        <v>526</v>
      </c>
      <c r="D637">
        <v>46192</v>
      </c>
      <c r="E637" t="s">
        <v>31</v>
      </c>
      <c r="F637" t="s">
        <v>143</v>
      </c>
      <c r="G637" t="s">
        <v>173</v>
      </c>
      <c r="H637" t="s">
        <v>25</v>
      </c>
      <c r="I637">
        <v>7</v>
      </c>
      <c r="J637">
        <v>1958245</v>
      </c>
      <c r="K637">
        <v>25000</v>
      </c>
      <c r="L637" t="s">
        <v>137</v>
      </c>
      <c r="M637" t="s">
        <v>138</v>
      </c>
      <c r="N637" t="s">
        <v>139</v>
      </c>
    </row>
    <row r="638" spans="1:14" x14ac:dyDescent="0.25">
      <c r="A638" t="s">
        <v>1110</v>
      </c>
      <c r="B638" t="s">
        <v>398</v>
      </c>
      <c r="C638" t="s">
        <v>399</v>
      </c>
      <c r="D638">
        <v>46120</v>
      </c>
      <c r="E638" t="s">
        <v>31</v>
      </c>
      <c r="F638" t="s">
        <v>1346</v>
      </c>
      <c r="G638" t="s">
        <v>177</v>
      </c>
      <c r="H638" t="s">
        <v>35</v>
      </c>
      <c r="I638">
        <v>6</v>
      </c>
      <c r="J638">
        <v>1191444</v>
      </c>
      <c r="K638">
        <v>0</v>
      </c>
      <c r="L638" t="s">
        <v>137</v>
      </c>
      <c r="M638" t="s">
        <v>138</v>
      </c>
      <c r="N638" t="s">
        <v>156</v>
      </c>
    </row>
    <row r="639" spans="1:14" x14ac:dyDescent="0.25">
      <c r="A639" t="s">
        <v>1111</v>
      </c>
      <c r="B639" t="s">
        <v>372</v>
      </c>
      <c r="C639" t="s">
        <v>198</v>
      </c>
      <c r="D639">
        <v>46177</v>
      </c>
      <c r="E639" t="s">
        <v>31</v>
      </c>
      <c r="F639" t="s">
        <v>28</v>
      </c>
      <c r="G639" t="s">
        <v>1400</v>
      </c>
      <c r="H639" t="s">
        <v>20</v>
      </c>
      <c r="I639">
        <v>7</v>
      </c>
      <c r="J639">
        <v>1640642</v>
      </c>
      <c r="K639">
        <v>15000</v>
      </c>
      <c r="L639" t="s">
        <v>148</v>
      </c>
      <c r="M639" t="s">
        <v>149</v>
      </c>
      <c r="N639" t="s">
        <v>139</v>
      </c>
    </row>
    <row r="640" spans="1:14" x14ac:dyDescent="0.25">
      <c r="A640" t="s">
        <v>1112</v>
      </c>
      <c r="B640" t="s">
        <v>455</v>
      </c>
      <c r="C640" t="s">
        <v>456</v>
      </c>
      <c r="D640">
        <v>46093</v>
      </c>
      <c r="E640" t="s">
        <v>34</v>
      </c>
      <c r="F640" t="s">
        <v>160</v>
      </c>
      <c r="G640" t="s">
        <v>173</v>
      </c>
      <c r="H640" t="s">
        <v>20</v>
      </c>
      <c r="I640">
        <v>3</v>
      </c>
      <c r="J640">
        <v>1175583</v>
      </c>
      <c r="K640">
        <v>50000</v>
      </c>
      <c r="L640" t="s">
        <v>137</v>
      </c>
      <c r="M640" t="s">
        <v>165</v>
      </c>
      <c r="N640" t="s">
        <v>139</v>
      </c>
    </row>
    <row r="641" spans="1:14" x14ac:dyDescent="0.25">
      <c r="A641" t="s">
        <v>1113</v>
      </c>
      <c r="B641" t="s">
        <v>736</v>
      </c>
      <c r="C641" t="s">
        <v>195</v>
      </c>
      <c r="D641">
        <v>46172</v>
      </c>
      <c r="E641" t="s">
        <v>31</v>
      </c>
      <c r="F641" t="s">
        <v>28</v>
      </c>
      <c r="G641" t="s">
        <v>147</v>
      </c>
      <c r="H641" t="s">
        <v>35</v>
      </c>
      <c r="I641">
        <v>5</v>
      </c>
      <c r="J641">
        <v>2196080</v>
      </c>
      <c r="K641">
        <v>15000</v>
      </c>
      <c r="L641" t="s">
        <v>137</v>
      </c>
      <c r="M641" t="s">
        <v>161</v>
      </c>
      <c r="N641" t="s">
        <v>139</v>
      </c>
    </row>
    <row r="642" spans="1:14" x14ac:dyDescent="0.25">
      <c r="A642" t="s">
        <v>1114</v>
      </c>
      <c r="B642" t="s">
        <v>398</v>
      </c>
      <c r="C642" t="s">
        <v>399</v>
      </c>
      <c r="D642">
        <v>46177</v>
      </c>
      <c r="E642" t="s">
        <v>23</v>
      </c>
      <c r="F642" t="s">
        <v>143</v>
      </c>
      <c r="G642" t="s">
        <v>136</v>
      </c>
      <c r="H642" t="s">
        <v>35</v>
      </c>
      <c r="I642">
        <v>7</v>
      </c>
      <c r="J642">
        <v>572136</v>
      </c>
      <c r="K642">
        <v>50000</v>
      </c>
      <c r="L642" t="s">
        <v>148</v>
      </c>
      <c r="M642" t="s">
        <v>165</v>
      </c>
      <c r="N642" t="s">
        <v>139</v>
      </c>
    </row>
    <row r="643" spans="1:14" x14ac:dyDescent="0.25">
      <c r="A643" t="s">
        <v>1115</v>
      </c>
      <c r="B643" t="s">
        <v>638</v>
      </c>
      <c r="C643" t="s">
        <v>287</v>
      </c>
      <c r="D643">
        <v>46123</v>
      </c>
      <c r="E643" t="s">
        <v>27</v>
      </c>
      <c r="F643" t="s">
        <v>1352</v>
      </c>
      <c r="G643" t="s">
        <v>39</v>
      </c>
      <c r="H643" t="s">
        <v>32</v>
      </c>
      <c r="I643">
        <v>6</v>
      </c>
      <c r="J643">
        <v>287205</v>
      </c>
      <c r="K643">
        <v>25000</v>
      </c>
      <c r="L643" t="s">
        <v>148</v>
      </c>
      <c r="M643" t="s">
        <v>165</v>
      </c>
      <c r="N643" t="s">
        <v>156</v>
      </c>
    </row>
    <row r="644" spans="1:14" x14ac:dyDescent="0.25">
      <c r="A644" t="s">
        <v>1116</v>
      </c>
      <c r="B644" t="s">
        <v>248</v>
      </c>
      <c r="C644" t="s">
        <v>226</v>
      </c>
      <c r="D644">
        <v>46168</v>
      </c>
      <c r="E644" t="s">
        <v>31</v>
      </c>
      <c r="F644" t="s">
        <v>160</v>
      </c>
      <c r="G644" t="s">
        <v>169</v>
      </c>
      <c r="H644" t="s">
        <v>32</v>
      </c>
      <c r="I644">
        <v>6</v>
      </c>
      <c r="J644">
        <v>878068</v>
      </c>
      <c r="K644">
        <v>0</v>
      </c>
      <c r="L644" t="s">
        <v>43</v>
      </c>
      <c r="M644" t="s">
        <v>161</v>
      </c>
      <c r="N644" t="s">
        <v>139</v>
      </c>
    </row>
    <row r="645" spans="1:14" x14ac:dyDescent="0.25">
      <c r="A645" t="s">
        <v>1117</v>
      </c>
      <c r="B645" t="s">
        <v>212</v>
      </c>
      <c r="C645" t="s">
        <v>213</v>
      </c>
      <c r="D645">
        <v>46197</v>
      </c>
      <c r="E645" t="s">
        <v>34</v>
      </c>
      <c r="F645" t="s">
        <v>28</v>
      </c>
      <c r="G645" t="s">
        <v>169</v>
      </c>
      <c r="H645" t="s">
        <v>25</v>
      </c>
      <c r="I645">
        <v>2</v>
      </c>
      <c r="J645">
        <v>1563049</v>
      </c>
      <c r="K645">
        <v>25000</v>
      </c>
      <c r="L645" t="s">
        <v>137</v>
      </c>
      <c r="M645" t="s">
        <v>165</v>
      </c>
      <c r="N645" t="s">
        <v>156</v>
      </c>
    </row>
    <row r="646" spans="1:14" x14ac:dyDescent="0.25">
      <c r="A646" t="s">
        <v>1118</v>
      </c>
      <c r="B646" t="s">
        <v>416</v>
      </c>
      <c r="C646" t="s">
        <v>350</v>
      </c>
      <c r="D646">
        <v>46165</v>
      </c>
      <c r="E646" t="s">
        <v>18</v>
      </c>
      <c r="F646" t="s">
        <v>28</v>
      </c>
      <c r="G646" t="s">
        <v>173</v>
      </c>
      <c r="H646" t="s">
        <v>25</v>
      </c>
      <c r="I646">
        <v>6</v>
      </c>
      <c r="J646">
        <v>2415449</v>
      </c>
      <c r="K646">
        <v>25000</v>
      </c>
      <c r="L646" t="s">
        <v>137</v>
      </c>
      <c r="M646" t="s">
        <v>161</v>
      </c>
      <c r="N646" t="s">
        <v>139</v>
      </c>
    </row>
    <row r="647" spans="1:14" x14ac:dyDescent="0.25">
      <c r="A647" t="s">
        <v>1119</v>
      </c>
      <c r="B647" t="s">
        <v>777</v>
      </c>
      <c r="C647" t="s">
        <v>246</v>
      </c>
      <c r="D647">
        <v>46160</v>
      </c>
      <c r="E647" t="s">
        <v>23</v>
      </c>
      <c r="F647" t="s">
        <v>28</v>
      </c>
      <c r="G647" t="s">
        <v>136</v>
      </c>
      <c r="H647" t="s">
        <v>35</v>
      </c>
      <c r="I647">
        <v>7</v>
      </c>
      <c r="J647">
        <v>1074501</v>
      </c>
      <c r="K647">
        <v>25000</v>
      </c>
      <c r="L647" t="s">
        <v>137</v>
      </c>
      <c r="M647" t="s">
        <v>165</v>
      </c>
      <c r="N647" t="s">
        <v>139</v>
      </c>
    </row>
    <row r="648" spans="1:14" x14ac:dyDescent="0.25">
      <c r="A648" t="s">
        <v>1120</v>
      </c>
      <c r="B648" t="s">
        <v>228</v>
      </c>
      <c r="C648" t="s">
        <v>217</v>
      </c>
      <c r="D648">
        <v>46070</v>
      </c>
      <c r="E648" t="s">
        <v>31</v>
      </c>
      <c r="F648" t="s">
        <v>1346</v>
      </c>
      <c r="G648" t="s">
        <v>177</v>
      </c>
      <c r="H648" t="s">
        <v>29</v>
      </c>
      <c r="I648">
        <v>3</v>
      </c>
      <c r="J648">
        <v>1725144</v>
      </c>
      <c r="K648">
        <v>15000</v>
      </c>
      <c r="L648" t="s">
        <v>148</v>
      </c>
      <c r="M648" t="s">
        <v>165</v>
      </c>
      <c r="N648" t="s">
        <v>139</v>
      </c>
    </row>
    <row r="649" spans="1:14" x14ac:dyDescent="0.25">
      <c r="A649" t="s">
        <v>1121</v>
      </c>
      <c r="B649" t="s">
        <v>494</v>
      </c>
      <c r="C649" t="s">
        <v>495</v>
      </c>
      <c r="D649">
        <v>46051</v>
      </c>
      <c r="E649" t="s">
        <v>27</v>
      </c>
      <c r="F649" t="s">
        <v>1346</v>
      </c>
      <c r="G649" t="s">
        <v>147</v>
      </c>
      <c r="H649" t="s">
        <v>35</v>
      </c>
      <c r="I649">
        <v>3</v>
      </c>
      <c r="J649">
        <v>916035</v>
      </c>
      <c r="K649">
        <v>50000</v>
      </c>
      <c r="L649" t="s">
        <v>43</v>
      </c>
      <c r="M649" t="s">
        <v>138</v>
      </c>
      <c r="N649" t="s">
        <v>156</v>
      </c>
    </row>
    <row r="650" spans="1:14" x14ac:dyDescent="0.25">
      <c r="A650" t="s">
        <v>1122</v>
      </c>
      <c r="B650" t="s">
        <v>413</v>
      </c>
      <c r="C650" t="s">
        <v>210</v>
      </c>
      <c r="D650">
        <v>46181</v>
      </c>
      <c r="E650" t="s">
        <v>31</v>
      </c>
      <c r="F650" t="s">
        <v>1346</v>
      </c>
      <c r="G650" t="s">
        <v>177</v>
      </c>
      <c r="H650" t="s">
        <v>25</v>
      </c>
      <c r="I650">
        <v>1</v>
      </c>
      <c r="J650">
        <v>438495</v>
      </c>
      <c r="K650">
        <v>15000</v>
      </c>
      <c r="L650" t="s">
        <v>137</v>
      </c>
      <c r="M650" t="s">
        <v>138</v>
      </c>
      <c r="N650" t="s">
        <v>139</v>
      </c>
    </row>
    <row r="651" spans="1:14" x14ac:dyDescent="0.25">
      <c r="A651" t="s">
        <v>1123</v>
      </c>
      <c r="B651" t="s">
        <v>413</v>
      </c>
      <c r="C651" t="s">
        <v>1404</v>
      </c>
      <c r="D651" t="s">
        <v>1405</v>
      </c>
      <c r="E651" t="s">
        <v>34</v>
      </c>
      <c r="F651" t="s">
        <v>160</v>
      </c>
      <c r="G651" t="s">
        <v>136</v>
      </c>
      <c r="H651" t="s">
        <v>29</v>
      </c>
      <c r="I651">
        <v>7</v>
      </c>
      <c r="J651">
        <v>1735814</v>
      </c>
      <c r="K651">
        <v>0</v>
      </c>
      <c r="L651" t="s">
        <v>37</v>
      </c>
      <c r="M651" t="s">
        <v>149</v>
      </c>
      <c r="N651" t="s">
        <v>139</v>
      </c>
    </row>
    <row r="652" spans="1:14" x14ac:dyDescent="0.25">
      <c r="A652" t="s">
        <v>1124</v>
      </c>
      <c r="B652" t="s">
        <v>813</v>
      </c>
      <c r="C652" t="s">
        <v>226</v>
      </c>
      <c r="D652">
        <v>46033</v>
      </c>
      <c r="E652" t="s">
        <v>31</v>
      </c>
      <c r="F652" t="s">
        <v>143</v>
      </c>
      <c r="G652" t="s">
        <v>169</v>
      </c>
      <c r="H652" t="s">
        <v>29</v>
      </c>
      <c r="I652">
        <v>2</v>
      </c>
      <c r="J652">
        <v>1151394</v>
      </c>
      <c r="K652">
        <v>50000</v>
      </c>
      <c r="L652" t="s">
        <v>137</v>
      </c>
      <c r="M652" t="s">
        <v>503</v>
      </c>
      <c r="N652" t="s">
        <v>156</v>
      </c>
    </row>
    <row r="653" spans="1:14" x14ac:dyDescent="0.25">
      <c r="A653" t="s">
        <v>1125</v>
      </c>
      <c r="B653" t="s">
        <v>839</v>
      </c>
      <c r="C653" t="s">
        <v>526</v>
      </c>
      <c r="D653">
        <v>46080</v>
      </c>
      <c r="E653" t="s">
        <v>23</v>
      </c>
      <c r="F653" t="s">
        <v>28</v>
      </c>
      <c r="G653" t="s">
        <v>39</v>
      </c>
      <c r="H653" t="s">
        <v>32</v>
      </c>
      <c r="I653">
        <v>2</v>
      </c>
      <c r="J653">
        <v>1966986</v>
      </c>
      <c r="K653">
        <v>15000</v>
      </c>
      <c r="L653" t="s">
        <v>137</v>
      </c>
      <c r="M653" t="s">
        <v>161</v>
      </c>
      <c r="N653" t="s">
        <v>156</v>
      </c>
    </row>
    <row r="654" spans="1:14" x14ac:dyDescent="0.25">
      <c r="A654" t="s">
        <v>1126</v>
      </c>
      <c r="B654" t="s">
        <v>191</v>
      </c>
      <c r="C654" t="s">
        <v>192</v>
      </c>
      <c r="D654">
        <v>46070</v>
      </c>
      <c r="E654" t="s">
        <v>31</v>
      </c>
      <c r="F654" t="s">
        <v>1346</v>
      </c>
      <c r="G654" t="s">
        <v>169</v>
      </c>
      <c r="H654" t="s">
        <v>25</v>
      </c>
      <c r="I654">
        <v>4</v>
      </c>
      <c r="J654">
        <v>2295046</v>
      </c>
      <c r="K654">
        <v>50000</v>
      </c>
      <c r="L654" t="s">
        <v>137</v>
      </c>
      <c r="M654" t="s">
        <v>165</v>
      </c>
      <c r="N654" t="s">
        <v>139</v>
      </c>
    </row>
    <row r="655" spans="1:14" x14ac:dyDescent="0.25">
      <c r="A655" t="s">
        <v>1127</v>
      </c>
      <c r="B655" t="s">
        <v>509</v>
      </c>
      <c r="C655" t="s">
        <v>297</v>
      </c>
      <c r="D655">
        <v>46117</v>
      </c>
      <c r="E655" t="s">
        <v>18</v>
      </c>
      <c r="F655" t="s">
        <v>1346</v>
      </c>
      <c r="G655" t="s">
        <v>169</v>
      </c>
      <c r="H655" t="s">
        <v>29</v>
      </c>
      <c r="I655">
        <v>3</v>
      </c>
      <c r="J655" t="s">
        <v>1128</v>
      </c>
      <c r="K655">
        <v>15000</v>
      </c>
      <c r="L655" t="s">
        <v>137</v>
      </c>
      <c r="M655" t="s">
        <v>161</v>
      </c>
      <c r="N655" t="s">
        <v>156</v>
      </c>
    </row>
    <row r="656" spans="1:14" x14ac:dyDescent="0.25">
      <c r="A656" t="s">
        <v>1129</v>
      </c>
      <c r="B656" t="s">
        <v>951</v>
      </c>
      <c r="C656" t="s">
        <v>762</v>
      </c>
      <c r="D656">
        <v>46152</v>
      </c>
      <c r="E656" t="s">
        <v>18</v>
      </c>
      <c r="F656" t="s">
        <v>1346</v>
      </c>
      <c r="G656" t="s">
        <v>169</v>
      </c>
      <c r="H656" t="s">
        <v>35</v>
      </c>
      <c r="I656">
        <v>3</v>
      </c>
      <c r="J656">
        <v>2115388</v>
      </c>
      <c r="K656">
        <v>50000</v>
      </c>
      <c r="L656" t="s">
        <v>137</v>
      </c>
      <c r="M656" t="s">
        <v>165</v>
      </c>
      <c r="N656" t="s">
        <v>156</v>
      </c>
    </row>
    <row r="657" spans="1:14" x14ac:dyDescent="0.25">
      <c r="A657" t="s">
        <v>1130</v>
      </c>
      <c r="B657" t="s">
        <v>175</v>
      </c>
      <c r="C657" t="s">
        <v>176</v>
      </c>
      <c r="D657">
        <v>46091</v>
      </c>
      <c r="E657" t="s">
        <v>23</v>
      </c>
      <c r="F657" t="s">
        <v>143</v>
      </c>
      <c r="G657" t="s">
        <v>173</v>
      </c>
      <c r="H657" t="s">
        <v>35</v>
      </c>
      <c r="I657">
        <v>5</v>
      </c>
      <c r="J657">
        <v>343143</v>
      </c>
      <c r="K657">
        <v>35000</v>
      </c>
      <c r="L657" t="s">
        <v>262</v>
      </c>
      <c r="M657" t="s">
        <v>138</v>
      </c>
      <c r="N657" t="s">
        <v>139</v>
      </c>
    </row>
    <row r="658" spans="1:14" x14ac:dyDescent="0.25">
      <c r="A658" t="s">
        <v>1131</v>
      </c>
      <c r="B658" t="s">
        <v>1132</v>
      </c>
      <c r="C658" t="s">
        <v>287</v>
      </c>
      <c r="D658">
        <v>46189</v>
      </c>
      <c r="E658" t="s">
        <v>23</v>
      </c>
      <c r="F658" t="s">
        <v>1346</v>
      </c>
      <c r="G658" t="s">
        <v>147</v>
      </c>
      <c r="H658" t="s">
        <v>25</v>
      </c>
      <c r="I658">
        <v>4</v>
      </c>
      <c r="J658">
        <v>361364</v>
      </c>
      <c r="K658">
        <v>25000</v>
      </c>
      <c r="L658" t="s">
        <v>148</v>
      </c>
      <c r="M658" t="s">
        <v>165</v>
      </c>
      <c r="N658" t="s">
        <v>156</v>
      </c>
    </row>
    <row r="659" spans="1:14" x14ac:dyDescent="0.25">
      <c r="A659" t="s">
        <v>1133</v>
      </c>
      <c r="B659" t="s">
        <v>582</v>
      </c>
      <c r="C659" t="s">
        <v>446</v>
      </c>
      <c r="D659">
        <v>46176</v>
      </c>
      <c r="E659" t="s">
        <v>31</v>
      </c>
      <c r="F659" t="s">
        <v>143</v>
      </c>
      <c r="G659" t="s">
        <v>169</v>
      </c>
      <c r="H659" t="s">
        <v>90</v>
      </c>
      <c r="I659">
        <v>6</v>
      </c>
      <c r="J659">
        <v>2178605</v>
      </c>
      <c r="K659">
        <v>35000</v>
      </c>
      <c r="L659" t="s">
        <v>137</v>
      </c>
      <c r="M659" t="s">
        <v>161</v>
      </c>
      <c r="N659" t="s">
        <v>139</v>
      </c>
    </row>
    <row r="660" spans="1:14" x14ac:dyDescent="0.25">
      <c r="A660" t="s">
        <v>1134</v>
      </c>
      <c r="B660" t="s">
        <v>216</v>
      </c>
      <c r="C660" t="s">
        <v>217</v>
      </c>
      <c r="D660" t="s">
        <v>1406</v>
      </c>
      <c r="E660" t="s">
        <v>31</v>
      </c>
      <c r="F660" t="s">
        <v>143</v>
      </c>
      <c r="G660" t="s">
        <v>147</v>
      </c>
      <c r="H660" t="s">
        <v>35</v>
      </c>
      <c r="I660">
        <v>2</v>
      </c>
      <c r="J660">
        <v>1397841</v>
      </c>
      <c r="K660">
        <v>25000</v>
      </c>
      <c r="L660" t="s">
        <v>137</v>
      </c>
      <c r="M660" t="s">
        <v>165</v>
      </c>
      <c r="N660" t="s">
        <v>139</v>
      </c>
    </row>
    <row r="661" spans="1:14" x14ac:dyDescent="0.25">
      <c r="A661" t="s">
        <v>1135</v>
      </c>
      <c r="B661" t="s">
        <v>167</v>
      </c>
      <c r="C661" t="s">
        <v>168</v>
      </c>
      <c r="D661">
        <v>46024</v>
      </c>
      <c r="E661" t="s">
        <v>27</v>
      </c>
      <c r="F661" t="s">
        <v>160</v>
      </c>
      <c r="G661" t="s">
        <v>147</v>
      </c>
      <c r="H661" t="s">
        <v>32</v>
      </c>
      <c r="I661">
        <v>5</v>
      </c>
      <c r="J661">
        <v>342176</v>
      </c>
      <c r="K661">
        <v>25000</v>
      </c>
      <c r="L661" t="s">
        <v>137</v>
      </c>
      <c r="M661" t="s">
        <v>149</v>
      </c>
      <c r="N661" t="s">
        <v>156</v>
      </c>
    </row>
    <row r="662" spans="1:14" x14ac:dyDescent="0.25">
      <c r="A662" t="s">
        <v>1136</v>
      </c>
      <c r="B662" t="s">
        <v>848</v>
      </c>
      <c r="C662" t="s">
        <v>334</v>
      </c>
      <c r="D662">
        <v>46072</v>
      </c>
      <c r="E662" t="s">
        <v>18</v>
      </c>
      <c r="F662" t="s">
        <v>160</v>
      </c>
      <c r="G662" t="s">
        <v>169</v>
      </c>
      <c r="H662" t="s">
        <v>32</v>
      </c>
      <c r="I662">
        <v>7</v>
      </c>
      <c r="J662">
        <v>1163540</v>
      </c>
      <c r="K662">
        <v>50000</v>
      </c>
      <c r="L662" t="s">
        <v>137</v>
      </c>
      <c r="M662" t="s">
        <v>161</v>
      </c>
      <c r="N662" t="s">
        <v>156</v>
      </c>
    </row>
    <row r="663" spans="1:14" x14ac:dyDescent="0.25">
      <c r="A663" t="s">
        <v>1137</v>
      </c>
      <c r="B663" t="s">
        <v>1138</v>
      </c>
      <c r="C663" t="s">
        <v>301</v>
      </c>
      <c r="D663">
        <v>46045</v>
      </c>
      <c r="E663" t="s">
        <v>31</v>
      </c>
      <c r="F663" t="s">
        <v>28</v>
      </c>
      <c r="G663" t="s">
        <v>169</v>
      </c>
      <c r="H663" t="s">
        <v>32</v>
      </c>
      <c r="I663">
        <v>5</v>
      </c>
      <c r="J663">
        <v>514941</v>
      </c>
      <c r="K663">
        <v>35000</v>
      </c>
      <c r="L663" t="s">
        <v>137</v>
      </c>
      <c r="M663" t="s">
        <v>138</v>
      </c>
      <c r="N663" t="s">
        <v>156</v>
      </c>
    </row>
    <row r="664" spans="1:14" x14ac:dyDescent="0.25">
      <c r="A664" t="s">
        <v>1139</v>
      </c>
      <c r="B664" t="s">
        <v>325</v>
      </c>
      <c r="C664" t="s">
        <v>284</v>
      </c>
      <c r="D664">
        <v>46110</v>
      </c>
      <c r="E664" t="s">
        <v>34</v>
      </c>
      <c r="F664" t="s">
        <v>28</v>
      </c>
      <c r="G664" t="s">
        <v>173</v>
      </c>
      <c r="H664" t="s">
        <v>29</v>
      </c>
      <c r="I664">
        <v>3</v>
      </c>
      <c r="J664">
        <v>887514</v>
      </c>
      <c r="K664">
        <v>0</v>
      </c>
      <c r="L664" t="s">
        <v>137</v>
      </c>
      <c r="M664" t="s">
        <v>138</v>
      </c>
      <c r="N664" t="s">
        <v>139</v>
      </c>
    </row>
    <row r="665" spans="1:14" x14ac:dyDescent="0.25">
      <c r="A665" t="s">
        <v>1140</v>
      </c>
      <c r="B665" t="s">
        <v>620</v>
      </c>
      <c r="C665" t="s">
        <v>277</v>
      </c>
      <c r="D665">
        <v>46074</v>
      </c>
      <c r="E665" t="s">
        <v>23</v>
      </c>
      <c r="F665" t="s">
        <v>1346</v>
      </c>
      <c r="G665" t="s">
        <v>1354</v>
      </c>
      <c r="H665" t="s">
        <v>35</v>
      </c>
      <c r="I665">
        <v>6</v>
      </c>
      <c r="J665">
        <v>1070597</v>
      </c>
      <c r="K665">
        <v>25000</v>
      </c>
      <c r="L665" t="s">
        <v>137</v>
      </c>
      <c r="M665" t="s">
        <v>161</v>
      </c>
      <c r="N665" t="s">
        <v>156</v>
      </c>
    </row>
    <row r="666" spans="1:14" x14ac:dyDescent="0.25">
      <c r="A666" t="s">
        <v>1141</v>
      </c>
      <c r="B666" t="s">
        <v>158</v>
      </c>
      <c r="C666" t="s">
        <v>159</v>
      </c>
      <c r="E666" t="s">
        <v>23</v>
      </c>
      <c r="F666" t="s">
        <v>160</v>
      </c>
      <c r="G666" t="s">
        <v>136</v>
      </c>
      <c r="H666" t="s">
        <v>32</v>
      </c>
      <c r="I666">
        <v>2</v>
      </c>
      <c r="J666">
        <v>1685091</v>
      </c>
      <c r="K666">
        <v>0</v>
      </c>
      <c r="L666" t="s">
        <v>137</v>
      </c>
      <c r="M666" t="s">
        <v>149</v>
      </c>
      <c r="N666" t="s">
        <v>139</v>
      </c>
    </row>
    <row r="667" spans="1:14" x14ac:dyDescent="0.25">
      <c r="A667" t="s">
        <v>1142</v>
      </c>
      <c r="B667" t="s">
        <v>365</v>
      </c>
      <c r="C667" t="s">
        <v>240</v>
      </c>
      <c r="D667">
        <v>46168</v>
      </c>
      <c r="E667" t="s">
        <v>27</v>
      </c>
      <c r="F667" t="s">
        <v>28</v>
      </c>
      <c r="G667" t="s">
        <v>177</v>
      </c>
      <c r="H667" t="s">
        <v>35</v>
      </c>
      <c r="I667">
        <v>7</v>
      </c>
      <c r="J667">
        <v>2482922</v>
      </c>
      <c r="K667">
        <v>25000</v>
      </c>
      <c r="L667" t="s">
        <v>137</v>
      </c>
      <c r="M667" t="s">
        <v>161</v>
      </c>
      <c r="N667" t="s">
        <v>156</v>
      </c>
    </row>
    <row r="668" spans="1:14" x14ac:dyDescent="0.25">
      <c r="A668" t="s">
        <v>1143</v>
      </c>
      <c r="B668" t="s">
        <v>1002</v>
      </c>
      <c r="C668" t="s">
        <v>306</v>
      </c>
      <c r="D668">
        <v>46047</v>
      </c>
      <c r="E668" t="s">
        <v>18</v>
      </c>
      <c r="F668" t="s">
        <v>143</v>
      </c>
      <c r="G668" t="s">
        <v>39</v>
      </c>
      <c r="H668" t="s">
        <v>20</v>
      </c>
      <c r="I668">
        <v>3</v>
      </c>
      <c r="J668">
        <v>768737</v>
      </c>
      <c r="K668">
        <v>50000</v>
      </c>
      <c r="L668" t="s">
        <v>137</v>
      </c>
      <c r="M668" t="s">
        <v>165</v>
      </c>
      <c r="N668" t="s">
        <v>156</v>
      </c>
    </row>
    <row r="669" spans="1:14" x14ac:dyDescent="0.25">
      <c r="A669" t="s">
        <v>1144</v>
      </c>
      <c r="B669" t="s">
        <v>339</v>
      </c>
      <c r="C669" t="s">
        <v>340</v>
      </c>
      <c r="D669">
        <v>46160</v>
      </c>
      <c r="E669" t="s">
        <v>27</v>
      </c>
      <c r="F669" t="s">
        <v>1390</v>
      </c>
      <c r="G669" t="s">
        <v>173</v>
      </c>
      <c r="H669" t="s">
        <v>32</v>
      </c>
      <c r="I669">
        <v>3</v>
      </c>
      <c r="K669">
        <v>25000</v>
      </c>
      <c r="L669" t="s">
        <v>137</v>
      </c>
      <c r="M669" t="s">
        <v>407</v>
      </c>
      <c r="N669" t="s">
        <v>156</v>
      </c>
    </row>
    <row r="670" spans="1:14" x14ac:dyDescent="0.25">
      <c r="A670" t="s">
        <v>1145</v>
      </c>
      <c r="B670" t="s">
        <v>145</v>
      </c>
      <c r="C670" t="s">
        <v>146</v>
      </c>
      <c r="D670">
        <v>46062</v>
      </c>
      <c r="E670" t="s">
        <v>31</v>
      </c>
      <c r="F670" t="s">
        <v>160</v>
      </c>
      <c r="G670" t="s">
        <v>169</v>
      </c>
      <c r="H670" t="s">
        <v>35</v>
      </c>
      <c r="I670">
        <v>6</v>
      </c>
      <c r="J670">
        <v>1535144</v>
      </c>
      <c r="K670">
        <v>35000</v>
      </c>
      <c r="L670" t="s">
        <v>137</v>
      </c>
      <c r="M670" t="s">
        <v>138</v>
      </c>
      <c r="N670" t="s">
        <v>156</v>
      </c>
    </row>
    <row r="671" spans="1:14" x14ac:dyDescent="0.25">
      <c r="A671" t="s">
        <v>1146</v>
      </c>
      <c r="B671" t="s">
        <v>881</v>
      </c>
      <c r="C671" t="s">
        <v>159</v>
      </c>
      <c r="D671">
        <v>46086</v>
      </c>
      <c r="E671" t="s">
        <v>23</v>
      </c>
      <c r="F671" t="s">
        <v>1346</v>
      </c>
      <c r="G671" t="s">
        <v>173</v>
      </c>
      <c r="H671" t="s">
        <v>32</v>
      </c>
      <c r="I671">
        <v>2</v>
      </c>
      <c r="J671">
        <v>1653829</v>
      </c>
      <c r="K671">
        <v>15000</v>
      </c>
      <c r="L671" t="s">
        <v>37</v>
      </c>
      <c r="M671" t="s">
        <v>149</v>
      </c>
      <c r="N671" t="s">
        <v>156</v>
      </c>
    </row>
    <row r="672" spans="1:14" x14ac:dyDescent="0.25">
      <c r="A672" t="s">
        <v>1147</v>
      </c>
      <c r="B672" t="s">
        <v>584</v>
      </c>
      <c r="C672" t="s">
        <v>189</v>
      </c>
      <c r="D672">
        <v>46156</v>
      </c>
      <c r="E672" t="s">
        <v>27</v>
      </c>
      <c r="F672" t="s">
        <v>28</v>
      </c>
      <c r="G672" t="s">
        <v>147</v>
      </c>
      <c r="H672" t="s">
        <v>29</v>
      </c>
      <c r="I672">
        <v>5</v>
      </c>
      <c r="J672">
        <v>501486</v>
      </c>
      <c r="K672">
        <v>25000</v>
      </c>
      <c r="L672" t="s">
        <v>137</v>
      </c>
      <c r="M672" t="s">
        <v>138</v>
      </c>
      <c r="N672" t="s">
        <v>139</v>
      </c>
    </row>
    <row r="673" spans="1:14" x14ac:dyDescent="0.25">
      <c r="A673" t="s">
        <v>1148</v>
      </c>
      <c r="B673" t="s">
        <v>770</v>
      </c>
      <c r="C673" t="s">
        <v>246</v>
      </c>
      <c r="D673">
        <v>46057</v>
      </c>
      <c r="E673" t="s">
        <v>31</v>
      </c>
      <c r="F673" t="s">
        <v>28</v>
      </c>
      <c r="G673" t="s">
        <v>173</v>
      </c>
      <c r="H673" t="s">
        <v>32</v>
      </c>
      <c r="I673">
        <v>3</v>
      </c>
      <c r="J673">
        <v>1998647</v>
      </c>
      <c r="K673">
        <v>15000</v>
      </c>
      <c r="L673" t="s">
        <v>43</v>
      </c>
      <c r="M673" t="s">
        <v>138</v>
      </c>
      <c r="N673" t="s">
        <v>156</v>
      </c>
    </row>
    <row r="674" spans="1:14" x14ac:dyDescent="0.25">
      <c r="A674" t="s">
        <v>1149</v>
      </c>
      <c r="B674" t="s">
        <v>835</v>
      </c>
      <c r="C674" t="s">
        <v>297</v>
      </c>
      <c r="D674">
        <v>46049</v>
      </c>
      <c r="E674" t="s">
        <v>34</v>
      </c>
      <c r="F674" t="s">
        <v>160</v>
      </c>
      <c r="G674" t="s">
        <v>147</v>
      </c>
      <c r="H674" t="s">
        <v>20</v>
      </c>
      <c r="I674">
        <v>4</v>
      </c>
      <c r="J674">
        <v>1468529</v>
      </c>
      <c r="K674">
        <v>50000</v>
      </c>
      <c r="L674" t="s">
        <v>214</v>
      </c>
      <c r="M674" t="s">
        <v>161</v>
      </c>
      <c r="N674" t="s">
        <v>156</v>
      </c>
    </row>
    <row r="675" spans="1:14" x14ac:dyDescent="0.25">
      <c r="A675" t="s">
        <v>1150</v>
      </c>
      <c r="B675" t="s">
        <v>372</v>
      </c>
      <c r="C675" t="s">
        <v>198</v>
      </c>
      <c r="D675">
        <v>46101</v>
      </c>
      <c r="E675" t="s">
        <v>23</v>
      </c>
      <c r="F675" t="s">
        <v>160</v>
      </c>
      <c r="G675" t="s">
        <v>136</v>
      </c>
      <c r="H675" t="s">
        <v>32</v>
      </c>
      <c r="I675">
        <v>6</v>
      </c>
      <c r="J675">
        <v>2396613</v>
      </c>
      <c r="K675">
        <v>15000</v>
      </c>
      <c r="L675" t="s">
        <v>137</v>
      </c>
      <c r="M675" t="s">
        <v>161</v>
      </c>
      <c r="N675" t="s">
        <v>156</v>
      </c>
    </row>
    <row r="676" spans="1:14" x14ac:dyDescent="0.25">
      <c r="A676" t="s">
        <v>1151</v>
      </c>
      <c r="B676" t="s">
        <v>678</v>
      </c>
      <c r="C676" t="s">
        <v>679</v>
      </c>
      <c r="D676">
        <v>46160</v>
      </c>
      <c r="E676" t="s">
        <v>27</v>
      </c>
      <c r="F676" t="s">
        <v>1346</v>
      </c>
      <c r="G676" t="s">
        <v>169</v>
      </c>
      <c r="H676" t="s">
        <v>88</v>
      </c>
      <c r="I676">
        <v>6</v>
      </c>
      <c r="J676">
        <v>339929</v>
      </c>
      <c r="K676">
        <v>35000</v>
      </c>
      <c r="L676" t="s">
        <v>137</v>
      </c>
      <c r="M676" t="s">
        <v>165</v>
      </c>
      <c r="N676" t="s">
        <v>156</v>
      </c>
    </row>
    <row r="677" spans="1:14" x14ac:dyDescent="0.25">
      <c r="A677" t="s">
        <v>1152</v>
      </c>
      <c r="B677" t="s">
        <v>286</v>
      </c>
      <c r="C677" t="s">
        <v>1407</v>
      </c>
      <c r="D677">
        <v>46140</v>
      </c>
      <c r="E677" t="s">
        <v>31</v>
      </c>
      <c r="F677" t="s">
        <v>143</v>
      </c>
      <c r="G677" t="s">
        <v>147</v>
      </c>
      <c r="H677" t="s">
        <v>35</v>
      </c>
      <c r="I677">
        <v>6</v>
      </c>
      <c r="J677">
        <v>898904</v>
      </c>
      <c r="K677">
        <v>15000</v>
      </c>
      <c r="L677" t="s">
        <v>137</v>
      </c>
      <c r="M677" t="s">
        <v>138</v>
      </c>
      <c r="N677" t="s">
        <v>156</v>
      </c>
    </row>
    <row r="678" spans="1:14" x14ac:dyDescent="0.25">
      <c r="A678" t="s">
        <v>1153</v>
      </c>
      <c r="B678" t="s">
        <v>154</v>
      </c>
      <c r="C678" t="s">
        <v>155</v>
      </c>
      <c r="D678">
        <v>46120</v>
      </c>
      <c r="E678" t="s">
        <v>34</v>
      </c>
      <c r="F678" t="s">
        <v>143</v>
      </c>
      <c r="G678" t="s">
        <v>39</v>
      </c>
      <c r="H678" t="s">
        <v>29</v>
      </c>
      <c r="I678">
        <v>3</v>
      </c>
      <c r="J678">
        <v>984151</v>
      </c>
      <c r="K678">
        <v>0</v>
      </c>
      <c r="L678" t="s">
        <v>137</v>
      </c>
      <c r="M678" t="s">
        <v>161</v>
      </c>
      <c r="N678" t="s">
        <v>139</v>
      </c>
    </row>
    <row r="679" spans="1:14" x14ac:dyDescent="0.25">
      <c r="A679" t="s">
        <v>1154</v>
      </c>
      <c r="B679" t="s">
        <v>725</v>
      </c>
      <c r="C679" t="s">
        <v>726</v>
      </c>
      <c r="D679">
        <v>46125</v>
      </c>
      <c r="E679" t="s">
        <v>34</v>
      </c>
      <c r="F679" t="s">
        <v>28</v>
      </c>
      <c r="G679" t="s">
        <v>169</v>
      </c>
      <c r="H679" t="s">
        <v>35</v>
      </c>
      <c r="I679">
        <v>2</v>
      </c>
      <c r="J679">
        <v>307723</v>
      </c>
      <c r="K679">
        <v>15000</v>
      </c>
      <c r="L679" t="s">
        <v>137</v>
      </c>
      <c r="M679" t="s">
        <v>138</v>
      </c>
      <c r="N679" t="s">
        <v>139</v>
      </c>
    </row>
    <row r="680" spans="1:14" x14ac:dyDescent="0.25">
      <c r="A680" t="s">
        <v>1155</v>
      </c>
      <c r="B680" t="s">
        <v>897</v>
      </c>
      <c r="C680" t="s">
        <v>456</v>
      </c>
      <c r="D680">
        <v>46190</v>
      </c>
      <c r="E680" t="s">
        <v>89</v>
      </c>
      <c r="F680" t="s">
        <v>1346</v>
      </c>
      <c r="G680" t="s">
        <v>177</v>
      </c>
      <c r="H680" t="s">
        <v>32</v>
      </c>
      <c r="I680">
        <v>6</v>
      </c>
      <c r="J680">
        <v>1263429</v>
      </c>
      <c r="K680">
        <v>35000</v>
      </c>
      <c r="L680" t="s">
        <v>137</v>
      </c>
      <c r="M680" t="s">
        <v>165</v>
      </c>
      <c r="N680" t="s">
        <v>139</v>
      </c>
    </row>
    <row r="681" spans="1:14" x14ac:dyDescent="0.25">
      <c r="A681" t="s">
        <v>1156</v>
      </c>
      <c r="B681" t="s">
        <v>242</v>
      </c>
      <c r="C681" t="s">
        <v>176</v>
      </c>
      <c r="D681">
        <v>46025</v>
      </c>
      <c r="E681" t="s">
        <v>18</v>
      </c>
      <c r="F681" t="s">
        <v>160</v>
      </c>
      <c r="G681" t="s">
        <v>169</v>
      </c>
      <c r="H681" t="s">
        <v>20</v>
      </c>
      <c r="I681">
        <v>6</v>
      </c>
      <c r="J681">
        <v>1778715</v>
      </c>
      <c r="K681">
        <v>0</v>
      </c>
      <c r="L681" t="s">
        <v>137</v>
      </c>
      <c r="M681" t="s">
        <v>161</v>
      </c>
      <c r="N681" t="s">
        <v>156</v>
      </c>
    </row>
    <row r="682" spans="1:14" x14ac:dyDescent="0.25">
      <c r="A682" t="s">
        <v>1157</v>
      </c>
      <c r="B682" t="s">
        <v>795</v>
      </c>
      <c r="C682" t="s">
        <v>435</v>
      </c>
      <c r="D682">
        <v>46148</v>
      </c>
      <c r="E682" t="s">
        <v>34</v>
      </c>
      <c r="F682" t="s">
        <v>28</v>
      </c>
      <c r="G682" t="s">
        <v>1347</v>
      </c>
      <c r="H682" t="s">
        <v>35</v>
      </c>
      <c r="I682">
        <v>5</v>
      </c>
      <c r="J682">
        <v>398922</v>
      </c>
      <c r="K682">
        <v>15000</v>
      </c>
      <c r="L682" t="s">
        <v>137</v>
      </c>
      <c r="M682" t="s">
        <v>149</v>
      </c>
      <c r="N682" t="s">
        <v>139</v>
      </c>
    </row>
    <row r="683" spans="1:14" x14ac:dyDescent="0.25">
      <c r="A683" t="s">
        <v>1158</v>
      </c>
      <c r="B683" t="s">
        <v>374</v>
      </c>
      <c r="C683" t="s">
        <v>202</v>
      </c>
      <c r="D683">
        <v>46168</v>
      </c>
      <c r="E683" t="s">
        <v>18</v>
      </c>
      <c r="F683" t="s">
        <v>160</v>
      </c>
      <c r="G683" t="s">
        <v>147</v>
      </c>
      <c r="H683" t="s">
        <v>32</v>
      </c>
      <c r="I683">
        <v>7</v>
      </c>
      <c r="J683">
        <v>1216807</v>
      </c>
      <c r="K683">
        <v>0</v>
      </c>
      <c r="L683" t="s">
        <v>137</v>
      </c>
      <c r="M683" t="s">
        <v>165</v>
      </c>
      <c r="N683" t="s">
        <v>156</v>
      </c>
    </row>
    <row r="684" spans="1:14" x14ac:dyDescent="0.25">
      <c r="A684" t="s">
        <v>1159</v>
      </c>
      <c r="B684" t="s">
        <v>141</v>
      </c>
      <c r="C684" t="s">
        <v>142</v>
      </c>
      <c r="D684">
        <v>46155</v>
      </c>
      <c r="E684" t="s">
        <v>31</v>
      </c>
      <c r="F684" t="s">
        <v>143</v>
      </c>
      <c r="G684" t="s">
        <v>173</v>
      </c>
      <c r="H684" t="s">
        <v>20</v>
      </c>
      <c r="I684">
        <v>4</v>
      </c>
      <c r="J684">
        <v>269716</v>
      </c>
      <c r="K684">
        <v>35000</v>
      </c>
      <c r="L684" t="s">
        <v>137</v>
      </c>
      <c r="M684" t="s">
        <v>161</v>
      </c>
      <c r="N684" t="s">
        <v>156</v>
      </c>
    </row>
    <row r="685" spans="1:14" x14ac:dyDescent="0.25">
      <c r="A685" t="s">
        <v>1160</v>
      </c>
      <c r="B685" t="s">
        <v>479</v>
      </c>
      <c r="C685" t="s">
        <v>164</v>
      </c>
      <c r="D685">
        <v>46180</v>
      </c>
      <c r="E685" t="s">
        <v>23</v>
      </c>
      <c r="F685" t="s">
        <v>143</v>
      </c>
      <c r="G685" t="s">
        <v>177</v>
      </c>
      <c r="H685" t="s">
        <v>25</v>
      </c>
      <c r="J685">
        <v>1675675</v>
      </c>
      <c r="K685">
        <v>35000</v>
      </c>
      <c r="L685" t="s">
        <v>137</v>
      </c>
      <c r="M685" t="s">
        <v>138</v>
      </c>
      <c r="N685" t="s">
        <v>156</v>
      </c>
    </row>
    <row r="686" spans="1:14" x14ac:dyDescent="0.25">
      <c r="A686" t="s">
        <v>1161</v>
      </c>
      <c r="B686" t="s">
        <v>475</v>
      </c>
      <c r="C686" t="s">
        <v>213</v>
      </c>
      <c r="D686">
        <v>46026</v>
      </c>
      <c r="E686" t="s">
        <v>18</v>
      </c>
      <c r="F686" t="s">
        <v>1352</v>
      </c>
      <c r="G686" t="s">
        <v>39</v>
      </c>
      <c r="H686" t="s">
        <v>32</v>
      </c>
      <c r="I686">
        <v>7</v>
      </c>
      <c r="J686">
        <v>760514</v>
      </c>
      <c r="K686">
        <v>25000</v>
      </c>
      <c r="L686" t="s">
        <v>37</v>
      </c>
      <c r="M686" t="s">
        <v>165</v>
      </c>
      <c r="N686" t="s">
        <v>156</v>
      </c>
    </row>
    <row r="687" spans="1:14" x14ac:dyDescent="0.25">
      <c r="A687" t="s">
        <v>1162</v>
      </c>
      <c r="B687" t="s">
        <v>401</v>
      </c>
      <c r="C687" t="s">
        <v>189</v>
      </c>
      <c r="D687">
        <v>46152</v>
      </c>
      <c r="E687" t="s">
        <v>31</v>
      </c>
      <c r="F687" t="s">
        <v>160</v>
      </c>
      <c r="G687" t="s">
        <v>39</v>
      </c>
      <c r="H687" t="s">
        <v>20</v>
      </c>
      <c r="I687">
        <v>2</v>
      </c>
      <c r="J687">
        <v>386964</v>
      </c>
      <c r="K687">
        <v>15000</v>
      </c>
      <c r="L687" t="s">
        <v>137</v>
      </c>
      <c r="M687" t="s">
        <v>161</v>
      </c>
      <c r="N687" t="s">
        <v>156</v>
      </c>
    </row>
    <row r="688" spans="1:14" x14ac:dyDescent="0.25">
      <c r="A688" t="s">
        <v>1163</v>
      </c>
      <c r="B688" t="s">
        <v>145</v>
      </c>
      <c r="C688" t="s">
        <v>146</v>
      </c>
      <c r="D688">
        <v>46158</v>
      </c>
      <c r="E688" t="s">
        <v>23</v>
      </c>
      <c r="F688" t="s">
        <v>160</v>
      </c>
      <c r="G688" t="s">
        <v>169</v>
      </c>
      <c r="H688" t="s">
        <v>20</v>
      </c>
      <c r="I688">
        <v>2</v>
      </c>
      <c r="J688">
        <v>1327148</v>
      </c>
      <c r="K688">
        <v>50000</v>
      </c>
      <c r="L688" t="s">
        <v>137</v>
      </c>
      <c r="M688" t="s">
        <v>149</v>
      </c>
      <c r="N688" t="s">
        <v>139</v>
      </c>
    </row>
    <row r="689" spans="1:14" x14ac:dyDescent="0.25">
      <c r="A689" t="s">
        <v>1164</v>
      </c>
      <c r="B689" t="s">
        <v>934</v>
      </c>
      <c r="C689" t="s">
        <v>380</v>
      </c>
      <c r="D689">
        <v>46159</v>
      </c>
      <c r="E689" t="s">
        <v>34</v>
      </c>
      <c r="F689" t="s">
        <v>160</v>
      </c>
      <c r="G689" t="s">
        <v>177</v>
      </c>
      <c r="H689" t="s">
        <v>20</v>
      </c>
      <c r="I689">
        <v>6</v>
      </c>
      <c r="J689">
        <v>193240</v>
      </c>
      <c r="K689">
        <v>50000</v>
      </c>
      <c r="L689" t="s">
        <v>137</v>
      </c>
      <c r="M689" t="s">
        <v>149</v>
      </c>
      <c r="N689" t="s">
        <v>156</v>
      </c>
    </row>
    <row r="690" spans="1:14" x14ac:dyDescent="0.25">
      <c r="A690" t="s">
        <v>1165</v>
      </c>
      <c r="B690" t="s">
        <v>207</v>
      </c>
      <c r="C690" t="s">
        <v>168</v>
      </c>
      <c r="D690">
        <v>46120</v>
      </c>
      <c r="E690" t="s">
        <v>18</v>
      </c>
      <c r="F690" t="s">
        <v>160</v>
      </c>
      <c r="G690" t="s">
        <v>147</v>
      </c>
      <c r="H690" t="s">
        <v>35</v>
      </c>
      <c r="I690">
        <v>1</v>
      </c>
      <c r="J690">
        <v>134348</v>
      </c>
      <c r="K690">
        <v>50000</v>
      </c>
      <c r="L690" t="s">
        <v>148</v>
      </c>
      <c r="M690" t="s">
        <v>138</v>
      </c>
      <c r="N690" t="s">
        <v>156</v>
      </c>
    </row>
    <row r="691" spans="1:14" x14ac:dyDescent="0.25">
      <c r="A691" t="s">
        <v>1166</v>
      </c>
      <c r="B691" t="s">
        <v>718</v>
      </c>
      <c r="C691" t="s">
        <v>155</v>
      </c>
      <c r="D691">
        <v>46189</v>
      </c>
      <c r="E691" t="s">
        <v>31</v>
      </c>
      <c r="F691" t="s">
        <v>28</v>
      </c>
      <c r="G691" t="s">
        <v>169</v>
      </c>
      <c r="H691" t="s">
        <v>29</v>
      </c>
      <c r="I691">
        <v>6</v>
      </c>
      <c r="J691">
        <v>2118284</v>
      </c>
      <c r="K691">
        <v>50000</v>
      </c>
      <c r="L691" t="s">
        <v>137</v>
      </c>
      <c r="M691" t="s">
        <v>138</v>
      </c>
      <c r="N691" t="s">
        <v>139</v>
      </c>
    </row>
    <row r="692" spans="1:14" x14ac:dyDescent="0.25">
      <c r="A692" t="s">
        <v>1167</v>
      </c>
      <c r="B692" t="s">
        <v>979</v>
      </c>
      <c r="C692" t="s">
        <v>679</v>
      </c>
      <c r="D692">
        <v>46087</v>
      </c>
      <c r="E692" t="s">
        <v>27</v>
      </c>
      <c r="F692" t="s">
        <v>1346</v>
      </c>
      <c r="G692" t="s">
        <v>177</v>
      </c>
      <c r="H692" t="s">
        <v>29</v>
      </c>
      <c r="I692">
        <v>4</v>
      </c>
      <c r="J692">
        <v>1567648</v>
      </c>
      <c r="K692">
        <v>35000</v>
      </c>
      <c r="L692" t="s">
        <v>43</v>
      </c>
      <c r="M692" t="s">
        <v>161</v>
      </c>
      <c r="N692" t="s">
        <v>139</v>
      </c>
    </row>
    <row r="693" spans="1:14" x14ac:dyDescent="0.25">
      <c r="A693" t="s">
        <v>1168</v>
      </c>
      <c r="B693" t="s">
        <v>228</v>
      </c>
      <c r="C693" t="s">
        <v>217</v>
      </c>
      <c r="D693">
        <v>46067</v>
      </c>
      <c r="E693" t="s">
        <v>34</v>
      </c>
      <c r="F693" t="s">
        <v>143</v>
      </c>
      <c r="G693" t="s">
        <v>173</v>
      </c>
      <c r="H693" t="s">
        <v>32</v>
      </c>
      <c r="I693">
        <v>2</v>
      </c>
      <c r="J693">
        <v>1749284</v>
      </c>
      <c r="K693">
        <v>25000</v>
      </c>
      <c r="L693" t="s">
        <v>137</v>
      </c>
      <c r="M693" t="s">
        <v>161</v>
      </c>
      <c r="N693" t="s">
        <v>139</v>
      </c>
    </row>
    <row r="694" spans="1:14" x14ac:dyDescent="0.25">
      <c r="A694" t="s">
        <v>1169</v>
      </c>
      <c r="B694" t="s">
        <v>743</v>
      </c>
      <c r="C694" t="s">
        <v>1408</v>
      </c>
      <c r="D694">
        <v>46161</v>
      </c>
      <c r="E694" t="s">
        <v>31</v>
      </c>
      <c r="F694" t="s">
        <v>28</v>
      </c>
      <c r="G694" t="s">
        <v>39</v>
      </c>
      <c r="H694" t="s">
        <v>32</v>
      </c>
      <c r="I694">
        <v>2</v>
      </c>
      <c r="J694">
        <v>1072046</v>
      </c>
      <c r="K694">
        <v>35000</v>
      </c>
      <c r="L694" t="s">
        <v>148</v>
      </c>
      <c r="M694" t="s">
        <v>149</v>
      </c>
      <c r="N694" t="s">
        <v>139</v>
      </c>
    </row>
    <row r="695" spans="1:14" x14ac:dyDescent="0.25">
      <c r="A695" t="s">
        <v>1170</v>
      </c>
      <c r="B695" t="s">
        <v>498</v>
      </c>
      <c r="C695" t="s">
        <v>320</v>
      </c>
      <c r="D695">
        <v>46141</v>
      </c>
      <c r="E695" t="s">
        <v>27</v>
      </c>
      <c r="F695" t="s">
        <v>143</v>
      </c>
      <c r="G695" t="s">
        <v>177</v>
      </c>
      <c r="H695" t="s">
        <v>29</v>
      </c>
      <c r="I695">
        <v>3</v>
      </c>
      <c r="J695">
        <v>1644882</v>
      </c>
      <c r="K695">
        <v>25000</v>
      </c>
      <c r="L695" t="s">
        <v>137</v>
      </c>
      <c r="M695" t="s">
        <v>161</v>
      </c>
      <c r="N695" t="s">
        <v>156</v>
      </c>
    </row>
    <row r="696" spans="1:14" x14ac:dyDescent="0.25">
      <c r="A696" t="s">
        <v>1171</v>
      </c>
      <c r="B696" t="s">
        <v>475</v>
      </c>
      <c r="C696" t="s">
        <v>213</v>
      </c>
      <c r="D696">
        <v>46072</v>
      </c>
      <c r="E696" t="s">
        <v>34</v>
      </c>
      <c r="F696" t="s">
        <v>143</v>
      </c>
      <c r="G696" t="s">
        <v>39</v>
      </c>
      <c r="H696" t="s">
        <v>29</v>
      </c>
      <c r="I696">
        <v>5</v>
      </c>
      <c r="J696" t="s">
        <v>1172</v>
      </c>
      <c r="K696">
        <v>35000</v>
      </c>
      <c r="L696" t="s">
        <v>148</v>
      </c>
      <c r="M696" t="s">
        <v>165</v>
      </c>
      <c r="N696" t="s">
        <v>139</v>
      </c>
    </row>
    <row r="697" spans="1:14" x14ac:dyDescent="0.25">
      <c r="A697" t="s">
        <v>1173</v>
      </c>
      <c r="B697" t="s">
        <v>910</v>
      </c>
      <c r="C697" t="s">
        <v>911</v>
      </c>
      <c r="D697">
        <v>46161</v>
      </c>
      <c r="E697" t="s">
        <v>18</v>
      </c>
      <c r="F697" t="s">
        <v>143</v>
      </c>
      <c r="G697" t="s">
        <v>136</v>
      </c>
      <c r="H697" t="s">
        <v>35</v>
      </c>
      <c r="I697">
        <v>7</v>
      </c>
      <c r="J697">
        <v>2017166</v>
      </c>
      <c r="K697">
        <v>25000</v>
      </c>
      <c r="L697" t="s">
        <v>37</v>
      </c>
      <c r="M697" t="s">
        <v>165</v>
      </c>
      <c r="N697" t="s">
        <v>156</v>
      </c>
    </row>
    <row r="698" spans="1:14" x14ac:dyDescent="0.25">
      <c r="A698" t="s">
        <v>1174</v>
      </c>
      <c r="B698" t="s">
        <v>506</v>
      </c>
      <c r="C698" t="s">
        <v>189</v>
      </c>
      <c r="D698">
        <v>46121</v>
      </c>
      <c r="E698" t="s">
        <v>18</v>
      </c>
      <c r="F698" t="s">
        <v>28</v>
      </c>
      <c r="G698" t="s">
        <v>147</v>
      </c>
      <c r="H698" t="s">
        <v>29</v>
      </c>
      <c r="I698">
        <v>2</v>
      </c>
      <c r="J698">
        <v>2290555</v>
      </c>
      <c r="K698">
        <v>35000</v>
      </c>
      <c r="L698" t="s">
        <v>43</v>
      </c>
      <c r="M698" t="s">
        <v>161</v>
      </c>
      <c r="N698" t="s">
        <v>139</v>
      </c>
    </row>
    <row r="699" spans="1:14" x14ac:dyDescent="0.25">
      <c r="A699" t="s">
        <v>1175</v>
      </c>
      <c r="B699" t="s">
        <v>253</v>
      </c>
      <c r="C699" t="s">
        <v>176</v>
      </c>
      <c r="D699">
        <v>46197</v>
      </c>
      <c r="E699" t="s">
        <v>18</v>
      </c>
      <c r="F699" t="s">
        <v>143</v>
      </c>
      <c r="G699" t="s">
        <v>39</v>
      </c>
      <c r="H699" t="s">
        <v>25</v>
      </c>
      <c r="I699">
        <v>6</v>
      </c>
      <c r="J699">
        <v>2482919</v>
      </c>
      <c r="K699">
        <v>15000</v>
      </c>
      <c r="L699" t="s">
        <v>137</v>
      </c>
      <c r="M699" t="s">
        <v>165</v>
      </c>
      <c r="N699" t="s">
        <v>139</v>
      </c>
    </row>
    <row r="700" spans="1:14" x14ac:dyDescent="0.25">
      <c r="A700" t="s">
        <v>1176</v>
      </c>
      <c r="B700" t="s">
        <v>736</v>
      </c>
      <c r="C700" t="s">
        <v>195</v>
      </c>
      <c r="D700">
        <v>46056</v>
      </c>
      <c r="E700" t="s">
        <v>23</v>
      </c>
      <c r="F700" t="s">
        <v>160</v>
      </c>
      <c r="G700" t="s">
        <v>173</v>
      </c>
      <c r="H700" t="s">
        <v>20</v>
      </c>
      <c r="I700">
        <v>5</v>
      </c>
      <c r="J700">
        <v>2161304</v>
      </c>
      <c r="K700">
        <v>25000</v>
      </c>
      <c r="L700" t="s">
        <v>43</v>
      </c>
      <c r="M700" t="s">
        <v>138</v>
      </c>
      <c r="N700" t="s">
        <v>156</v>
      </c>
    </row>
    <row r="701" spans="1:14" x14ac:dyDescent="0.25">
      <c r="A701" t="s">
        <v>1177</v>
      </c>
      <c r="B701" t="s">
        <v>662</v>
      </c>
      <c r="C701" t="s">
        <v>223</v>
      </c>
      <c r="D701">
        <v>46036</v>
      </c>
      <c r="E701" t="s">
        <v>18</v>
      </c>
      <c r="F701" t="s">
        <v>143</v>
      </c>
      <c r="G701" t="s">
        <v>136</v>
      </c>
      <c r="H701" t="s">
        <v>20</v>
      </c>
      <c r="I701">
        <v>3</v>
      </c>
      <c r="J701">
        <v>1510447</v>
      </c>
      <c r="K701">
        <v>0</v>
      </c>
      <c r="L701" t="s">
        <v>43</v>
      </c>
      <c r="M701" t="s">
        <v>138</v>
      </c>
      <c r="N701" t="s">
        <v>139</v>
      </c>
    </row>
    <row r="702" spans="1:14" x14ac:dyDescent="0.25">
      <c r="A702" t="s">
        <v>1178</v>
      </c>
      <c r="B702" t="s">
        <v>1026</v>
      </c>
      <c r="C702" t="s">
        <v>135</v>
      </c>
      <c r="D702">
        <v>46103</v>
      </c>
      <c r="E702" t="s">
        <v>23</v>
      </c>
      <c r="F702" t="s">
        <v>143</v>
      </c>
      <c r="G702" t="s">
        <v>177</v>
      </c>
      <c r="H702" t="s">
        <v>29</v>
      </c>
      <c r="I702">
        <v>3</v>
      </c>
      <c r="J702">
        <v>1993247</v>
      </c>
      <c r="K702">
        <v>35000</v>
      </c>
      <c r="L702" t="s">
        <v>137</v>
      </c>
      <c r="M702" t="s">
        <v>161</v>
      </c>
      <c r="N702" t="s">
        <v>139</v>
      </c>
    </row>
    <row r="703" spans="1:14" x14ac:dyDescent="0.25">
      <c r="A703" t="s">
        <v>1179</v>
      </c>
      <c r="B703" t="s">
        <v>235</v>
      </c>
      <c r="C703" t="s">
        <v>142</v>
      </c>
      <c r="D703">
        <v>46159</v>
      </c>
      <c r="E703" t="s">
        <v>34</v>
      </c>
      <c r="F703" t="s">
        <v>143</v>
      </c>
      <c r="G703" t="s">
        <v>173</v>
      </c>
      <c r="H703" t="s">
        <v>29</v>
      </c>
      <c r="I703">
        <v>5</v>
      </c>
      <c r="J703">
        <v>1838322</v>
      </c>
      <c r="K703">
        <v>15000</v>
      </c>
      <c r="L703" t="s">
        <v>137</v>
      </c>
      <c r="M703" t="s">
        <v>138</v>
      </c>
      <c r="N703" t="s">
        <v>139</v>
      </c>
    </row>
    <row r="704" spans="1:14" x14ac:dyDescent="0.25">
      <c r="A704" t="s">
        <v>1180</v>
      </c>
      <c r="B704" t="s">
        <v>951</v>
      </c>
      <c r="C704" t="s">
        <v>762</v>
      </c>
      <c r="D704">
        <v>46033</v>
      </c>
      <c r="E704" t="s">
        <v>23</v>
      </c>
      <c r="F704" t="s">
        <v>1346</v>
      </c>
      <c r="G704" t="s">
        <v>39</v>
      </c>
      <c r="H704" t="s">
        <v>35</v>
      </c>
      <c r="I704">
        <v>4</v>
      </c>
      <c r="J704">
        <v>688742</v>
      </c>
      <c r="K704">
        <v>35000</v>
      </c>
      <c r="L704" t="s">
        <v>137</v>
      </c>
      <c r="M704" t="s">
        <v>161</v>
      </c>
      <c r="N704" t="s">
        <v>156</v>
      </c>
    </row>
    <row r="705" spans="1:14" x14ac:dyDescent="0.25">
      <c r="A705" t="s">
        <v>1181</v>
      </c>
      <c r="B705" t="s">
        <v>204</v>
      </c>
      <c r="C705" t="s">
        <v>205</v>
      </c>
      <c r="D705">
        <v>46028</v>
      </c>
      <c r="E705" t="s">
        <v>23</v>
      </c>
      <c r="F705" t="s">
        <v>143</v>
      </c>
      <c r="G705" t="s">
        <v>177</v>
      </c>
      <c r="H705" t="s">
        <v>35</v>
      </c>
      <c r="I705">
        <v>3</v>
      </c>
      <c r="J705">
        <v>2182620</v>
      </c>
      <c r="K705">
        <v>50000</v>
      </c>
      <c r="L705" t="s">
        <v>148</v>
      </c>
      <c r="M705" t="s">
        <v>149</v>
      </c>
      <c r="N705" t="s">
        <v>139</v>
      </c>
    </row>
    <row r="706" spans="1:14" x14ac:dyDescent="0.25">
      <c r="A706" t="s">
        <v>1182</v>
      </c>
      <c r="B706" t="s">
        <v>462</v>
      </c>
      <c r="C706" t="s">
        <v>202</v>
      </c>
      <c r="D706">
        <v>46123</v>
      </c>
      <c r="E706" t="s">
        <v>34</v>
      </c>
      <c r="F706" t="s">
        <v>160</v>
      </c>
      <c r="G706" t="s">
        <v>136</v>
      </c>
      <c r="H706" t="s">
        <v>35</v>
      </c>
      <c r="I706">
        <v>7</v>
      </c>
      <c r="J706">
        <v>746989</v>
      </c>
      <c r="K706">
        <v>0</v>
      </c>
      <c r="L706" t="s">
        <v>37</v>
      </c>
      <c r="M706" t="s">
        <v>165</v>
      </c>
      <c r="N706" t="s">
        <v>139</v>
      </c>
    </row>
    <row r="707" spans="1:14" x14ac:dyDescent="0.25">
      <c r="A707" t="s">
        <v>1183</v>
      </c>
      <c r="B707" t="s">
        <v>494</v>
      </c>
      <c r="C707" t="s">
        <v>495</v>
      </c>
      <c r="D707" t="s">
        <v>1409</v>
      </c>
      <c r="E707" t="s">
        <v>27</v>
      </c>
      <c r="F707" t="s">
        <v>160</v>
      </c>
      <c r="G707" t="s">
        <v>39</v>
      </c>
      <c r="H707" t="s">
        <v>25</v>
      </c>
      <c r="I707">
        <v>3</v>
      </c>
      <c r="J707">
        <v>1872122</v>
      </c>
      <c r="K707">
        <v>15000</v>
      </c>
      <c r="L707" t="s">
        <v>148</v>
      </c>
      <c r="M707" t="s">
        <v>138</v>
      </c>
      <c r="N707" t="s">
        <v>156</v>
      </c>
    </row>
    <row r="708" spans="1:14" x14ac:dyDescent="0.25">
      <c r="A708" t="s">
        <v>1184</v>
      </c>
      <c r="B708" t="s">
        <v>368</v>
      </c>
      <c r="C708" t="s">
        <v>36</v>
      </c>
      <c r="D708">
        <v>46189</v>
      </c>
      <c r="E708" t="s">
        <v>23</v>
      </c>
      <c r="F708" t="s">
        <v>1346</v>
      </c>
      <c r="G708" t="s">
        <v>169</v>
      </c>
      <c r="H708" t="s">
        <v>32</v>
      </c>
      <c r="I708">
        <v>3</v>
      </c>
      <c r="J708">
        <v>1121616</v>
      </c>
      <c r="K708">
        <v>25000</v>
      </c>
      <c r="L708" t="s">
        <v>137</v>
      </c>
      <c r="M708" t="s">
        <v>138</v>
      </c>
      <c r="N708" t="s">
        <v>156</v>
      </c>
    </row>
    <row r="709" spans="1:14" x14ac:dyDescent="0.25">
      <c r="A709" t="s">
        <v>1185</v>
      </c>
      <c r="B709" t="s">
        <v>1186</v>
      </c>
      <c r="C709" t="s">
        <v>380</v>
      </c>
      <c r="D709">
        <v>46164</v>
      </c>
      <c r="E709" t="s">
        <v>23</v>
      </c>
      <c r="F709" t="s">
        <v>1346</v>
      </c>
      <c r="G709" t="s">
        <v>39</v>
      </c>
      <c r="H709" t="s">
        <v>29</v>
      </c>
      <c r="I709">
        <v>7</v>
      </c>
      <c r="J709">
        <v>251591</v>
      </c>
      <c r="K709">
        <v>15000</v>
      </c>
      <c r="L709" t="s">
        <v>37</v>
      </c>
      <c r="M709" t="s">
        <v>149</v>
      </c>
      <c r="N709" t="s">
        <v>139</v>
      </c>
    </row>
    <row r="710" spans="1:14" x14ac:dyDescent="0.25">
      <c r="A710" t="s">
        <v>1187</v>
      </c>
      <c r="B710" t="s">
        <v>363</v>
      </c>
      <c r="C710" t="s">
        <v>195</v>
      </c>
      <c r="D710" t="s">
        <v>1350</v>
      </c>
      <c r="E710" t="s">
        <v>27</v>
      </c>
      <c r="F710" t="s">
        <v>28</v>
      </c>
      <c r="G710" t="s">
        <v>39</v>
      </c>
      <c r="H710" t="s">
        <v>25</v>
      </c>
      <c r="I710">
        <v>6</v>
      </c>
      <c r="J710">
        <v>270924</v>
      </c>
      <c r="K710">
        <v>25000</v>
      </c>
      <c r="L710" t="s">
        <v>137</v>
      </c>
      <c r="N710" t="s">
        <v>156</v>
      </c>
    </row>
    <row r="711" spans="1:14" x14ac:dyDescent="0.25">
      <c r="A711" t="s">
        <v>1188</v>
      </c>
      <c r="B711" t="s">
        <v>1002</v>
      </c>
      <c r="C711" t="s">
        <v>306</v>
      </c>
      <c r="D711">
        <v>46089</v>
      </c>
      <c r="E711" t="s">
        <v>31</v>
      </c>
      <c r="F711" t="s">
        <v>160</v>
      </c>
      <c r="G711" t="s">
        <v>169</v>
      </c>
      <c r="H711" t="s">
        <v>25</v>
      </c>
      <c r="I711">
        <v>4</v>
      </c>
      <c r="J711">
        <v>2436860</v>
      </c>
      <c r="K711">
        <v>15000</v>
      </c>
      <c r="L711" t="s">
        <v>137</v>
      </c>
      <c r="M711" t="s">
        <v>161</v>
      </c>
      <c r="N711" t="s">
        <v>156</v>
      </c>
    </row>
    <row r="712" spans="1:14" x14ac:dyDescent="0.25">
      <c r="A712" t="s">
        <v>1189</v>
      </c>
      <c r="B712" t="s">
        <v>718</v>
      </c>
      <c r="C712" t="s">
        <v>155</v>
      </c>
      <c r="D712">
        <v>46055</v>
      </c>
      <c r="E712" t="s">
        <v>27</v>
      </c>
      <c r="F712" t="s">
        <v>143</v>
      </c>
      <c r="G712" t="s">
        <v>173</v>
      </c>
      <c r="H712" t="s">
        <v>20</v>
      </c>
      <c r="I712">
        <v>1</v>
      </c>
      <c r="J712">
        <v>568998</v>
      </c>
      <c r="K712">
        <v>15000</v>
      </c>
      <c r="L712" t="s">
        <v>137</v>
      </c>
      <c r="M712" t="s">
        <v>199</v>
      </c>
      <c r="N712" t="s">
        <v>156</v>
      </c>
    </row>
    <row r="713" spans="1:14" x14ac:dyDescent="0.25">
      <c r="A713" t="s">
        <v>1190</v>
      </c>
      <c r="B713" t="s">
        <v>267</v>
      </c>
      <c r="C713" t="s">
        <v>281</v>
      </c>
      <c r="D713">
        <v>46026</v>
      </c>
      <c r="E713" t="s">
        <v>31</v>
      </c>
      <c r="F713" t="s">
        <v>1346</v>
      </c>
      <c r="G713" t="s">
        <v>169</v>
      </c>
      <c r="H713" t="s">
        <v>20</v>
      </c>
      <c r="I713">
        <v>1</v>
      </c>
      <c r="J713">
        <v>1550823</v>
      </c>
      <c r="K713">
        <v>50000</v>
      </c>
      <c r="L713" t="s">
        <v>137</v>
      </c>
      <c r="M713" t="s">
        <v>390</v>
      </c>
      <c r="N713" t="s">
        <v>156</v>
      </c>
    </row>
    <row r="714" spans="1:14" x14ac:dyDescent="0.25">
      <c r="A714" t="s">
        <v>1191</v>
      </c>
      <c r="B714" t="s">
        <v>525</v>
      </c>
      <c r="C714" t="s">
        <v>526</v>
      </c>
      <c r="D714">
        <v>46203</v>
      </c>
      <c r="E714" t="s">
        <v>23</v>
      </c>
      <c r="F714" t="s">
        <v>160</v>
      </c>
      <c r="G714" t="s">
        <v>39</v>
      </c>
      <c r="H714" t="s">
        <v>29</v>
      </c>
      <c r="I714">
        <v>6</v>
      </c>
      <c r="J714">
        <v>701812</v>
      </c>
      <c r="K714">
        <v>15000</v>
      </c>
      <c r="L714" t="s">
        <v>43</v>
      </c>
      <c r="M714" t="s">
        <v>161</v>
      </c>
      <c r="N714" t="s">
        <v>156</v>
      </c>
    </row>
    <row r="715" spans="1:14" x14ac:dyDescent="0.25">
      <c r="A715" t="s">
        <v>1192</v>
      </c>
      <c r="B715" t="s">
        <v>1193</v>
      </c>
      <c r="C715" t="s">
        <v>172</v>
      </c>
      <c r="D715">
        <v>46043</v>
      </c>
      <c r="E715" t="s">
        <v>18</v>
      </c>
      <c r="F715" t="s">
        <v>28</v>
      </c>
      <c r="G715" t="s">
        <v>147</v>
      </c>
      <c r="H715" t="s">
        <v>29</v>
      </c>
      <c r="I715">
        <v>6</v>
      </c>
      <c r="J715">
        <v>1742780</v>
      </c>
      <c r="K715">
        <v>25000</v>
      </c>
      <c r="L715" t="s">
        <v>137</v>
      </c>
      <c r="M715" t="s">
        <v>138</v>
      </c>
      <c r="N715" t="s">
        <v>139</v>
      </c>
    </row>
    <row r="716" spans="1:14" x14ac:dyDescent="0.25">
      <c r="A716" t="s">
        <v>1194</v>
      </c>
      <c r="B716" t="s">
        <v>311</v>
      </c>
      <c r="C716" t="s">
        <v>272</v>
      </c>
      <c r="D716">
        <v>46196</v>
      </c>
      <c r="E716" t="s">
        <v>18</v>
      </c>
      <c r="F716" t="s">
        <v>1346</v>
      </c>
      <c r="G716" t="s">
        <v>177</v>
      </c>
      <c r="H716" t="s">
        <v>35</v>
      </c>
      <c r="I716">
        <v>2</v>
      </c>
      <c r="J716">
        <v>376969</v>
      </c>
      <c r="K716">
        <v>35000</v>
      </c>
      <c r="L716" t="s">
        <v>137</v>
      </c>
      <c r="M716" t="s">
        <v>161</v>
      </c>
      <c r="N716" t="s">
        <v>156</v>
      </c>
    </row>
    <row r="717" spans="1:14" x14ac:dyDescent="0.25">
      <c r="A717" t="s">
        <v>1195</v>
      </c>
      <c r="B717" t="s">
        <v>448</v>
      </c>
      <c r="C717" t="s">
        <v>449</v>
      </c>
      <c r="D717">
        <v>46054</v>
      </c>
      <c r="E717" t="s">
        <v>31</v>
      </c>
      <c r="F717" t="s">
        <v>1346</v>
      </c>
      <c r="G717" t="s">
        <v>147</v>
      </c>
      <c r="H717" t="s">
        <v>32</v>
      </c>
      <c r="I717">
        <v>2</v>
      </c>
      <c r="J717">
        <v>437843</v>
      </c>
      <c r="K717">
        <v>15000</v>
      </c>
      <c r="L717" t="s">
        <v>417</v>
      </c>
      <c r="M717" t="s">
        <v>138</v>
      </c>
      <c r="N717" t="s">
        <v>139</v>
      </c>
    </row>
    <row r="718" spans="1:14" x14ac:dyDescent="0.25">
      <c r="A718" t="s">
        <v>1196</v>
      </c>
      <c r="B718" t="s">
        <v>248</v>
      </c>
      <c r="C718" t="s">
        <v>226</v>
      </c>
      <c r="D718">
        <v>46132</v>
      </c>
      <c r="E718" t="s">
        <v>34</v>
      </c>
      <c r="F718" t="s">
        <v>1346</v>
      </c>
      <c r="G718" t="s">
        <v>177</v>
      </c>
      <c r="H718" t="s">
        <v>20</v>
      </c>
      <c r="I718">
        <v>6</v>
      </c>
      <c r="J718">
        <v>1172559</v>
      </c>
      <c r="K718">
        <v>25000</v>
      </c>
      <c r="L718" t="s">
        <v>262</v>
      </c>
      <c r="M718" t="s">
        <v>161</v>
      </c>
      <c r="N718" t="s">
        <v>156</v>
      </c>
    </row>
    <row r="719" spans="1:14" x14ac:dyDescent="0.25">
      <c r="A719" t="s">
        <v>1197</v>
      </c>
      <c r="B719" t="s">
        <v>844</v>
      </c>
      <c r="C719" t="s">
        <v>246</v>
      </c>
      <c r="D719">
        <v>46149</v>
      </c>
      <c r="E719" t="s">
        <v>31</v>
      </c>
      <c r="F719" t="s">
        <v>160</v>
      </c>
      <c r="G719" t="s">
        <v>169</v>
      </c>
      <c r="H719" t="s">
        <v>88</v>
      </c>
      <c r="I719">
        <v>5</v>
      </c>
      <c r="J719">
        <v>1563776</v>
      </c>
      <c r="K719">
        <v>0</v>
      </c>
      <c r="L719" t="s">
        <v>137</v>
      </c>
      <c r="M719" t="s">
        <v>138</v>
      </c>
      <c r="N719" t="s">
        <v>139</v>
      </c>
    </row>
    <row r="720" spans="1:14" x14ac:dyDescent="0.25">
      <c r="A720" t="s">
        <v>1198</v>
      </c>
      <c r="B720" t="s">
        <v>305</v>
      </c>
      <c r="C720" t="s">
        <v>306</v>
      </c>
      <c r="D720">
        <v>46115</v>
      </c>
      <c r="E720" t="s">
        <v>34</v>
      </c>
      <c r="F720" t="s">
        <v>28</v>
      </c>
      <c r="G720" t="s">
        <v>136</v>
      </c>
      <c r="H720" t="s">
        <v>90</v>
      </c>
      <c r="I720">
        <v>3</v>
      </c>
      <c r="J720">
        <v>396315</v>
      </c>
      <c r="K720">
        <v>50000</v>
      </c>
      <c r="L720" t="s">
        <v>137</v>
      </c>
      <c r="M720" t="s">
        <v>161</v>
      </c>
      <c r="N720" t="s">
        <v>139</v>
      </c>
    </row>
    <row r="721" spans="1:14" x14ac:dyDescent="0.25">
      <c r="A721" t="s">
        <v>1199</v>
      </c>
      <c r="B721" t="s">
        <v>1032</v>
      </c>
      <c r="C721" t="s">
        <v>441</v>
      </c>
      <c r="D721">
        <v>46148</v>
      </c>
      <c r="E721" t="s">
        <v>23</v>
      </c>
      <c r="F721" t="s">
        <v>1346</v>
      </c>
      <c r="G721" t="s">
        <v>39</v>
      </c>
      <c r="H721" t="s">
        <v>32</v>
      </c>
      <c r="I721">
        <v>6</v>
      </c>
      <c r="J721">
        <v>1434808</v>
      </c>
      <c r="K721">
        <v>50000</v>
      </c>
      <c r="L721" t="s">
        <v>137</v>
      </c>
      <c r="M721" t="s">
        <v>138</v>
      </c>
      <c r="N721" t="s">
        <v>139</v>
      </c>
    </row>
    <row r="722" spans="1:14" x14ac:dyDescent="0.25">
      <c r="A722" t="s">
        <v>1200</v>
      </c>
      <c r="B722" t="s">
        <v>650</v>
      </c>
      <c r="C722" t="s">
        <v>435</v>
      </c>
      <c r="D722">
        <v>46126</v>
      </c>
      <c r="E722" t="s">
        <v>31</v>
      </c>
      <c r="F722" t="s">
        <v>28</v>
      </c>
      <c r="G722" t="s">
        <v>173</v>
      </c>
      <c r="H722" t="s">
        <v>29</v>
      </c>
      <c r="I722">
        <v>4</v>
      </c>
      <c r="J722">
        <v>2064579</v>
      </c>
      <c r="K722">
        <v>35000</v>
      </c>
      <c r="L722" t="s">
        <v>137</v>
      </c>
      <c r="M722" t="s">
        <v>138</v>
      </c>
      <c r="N722" t="s">
        <v>139</v>
      </c>
    </row>
    <row r="723" spans="1:14" x14ac:dyDescent="0.25">
      <c r="A723" t="s">
        <v>1201</v>
      </c>
      <c r="B723" t="s">
        <v>363</v>
      </c>
      <c r="C723" t="s">
        <v>195</v>
      </c>
      <c r="D723">
        <v>46184</v>
      </c>
      <c r="E723" t="s">
        <v>18</v>
      </c>
      <c r="F723" t="s">
        <v>143</v>
      </c>
      <c r="G723" t="s">
        <v>147</v>
      </c>
      <c r="H723" t="s">
        <v>29</v>
      </c>
      <c r="I723">
        <v>3</v>
      </c>
      <c r="J723">
        <v>746561</v>
      </c>
      <c r="K723">
        <v>35000</v>
      </c>
      <c r="L723" t="s">
        <v>137</v>
      </c>
      <c r="M723" t="s">
        <v>165</v>
      </c>
      <c r="N723" t="s">
        <v>156</v>
      </c>
    </row>
    <row r="724" spans="1:14" x14ac:dyDescent="0.25">
      <c r="A724" t="s">
        <v>1202</v>
      </c>
      <c r="B724" t="s">
        <v>951</v>
      </c>
      <c r="C724" t="s">
        <v>762</v>
      </c>
      <c r="D724">
        <v>46027</v>
      </c>
      <c r="E724" t="s">
        <v>31</v>
      </c>
      <c r="F724" t="s">
        <v>28</v>
      </c>
      <c r="G724" t="s">
        <v>177</v>
      </c>
      <c r="H724" t="s">
        <v>25</v>
      </c>
      <c r="I724">
        <v>2</v>
      </c>
      <c r="J724">
        <v>1761196</v>
      </c>
      <c r="K724">
        <v>35000</v>
      </c>
      <c r="L724" t="s">
        <v>137</v>
      </c>
      <c r="M724" t="s">
        <v>161</v>
      </c>
      <c r="N724" t="s">
        <v>139</v>
      </c>
    </row>
    <row r="725" spans="1:14" x14ac:dyDescent="0.25">
      <c r="A725" t="s">
        <v>1203</v>
      </c>
      <c r="B725" t="s">
        <v>720</v>
      </c>
      <c r="C725" t="s">
        <v>33</v>
      </c>
      <c r="D725">
        <v>46071</v>
      </c>
      <c r="E725" t="s">
        <v>18</v>
      </c>
      <c r="F725" t="s">
        <v>28</v>
      </c>
      <c r="G725" t="s">
        <v>1370</v>
      </c>
      <c r="H725" t="s">
        <v>20</v>
      </c>
      <c r="I725">
        <v>6</v>
      </c>
      <c r="J725">
        <v>2160674</v>
      </c>
      <c r="K725">
        <v>50000</v>
      </c>
      <c r="L725" t="s">
        <v>137</v>
      </c>
      <c r="M725" t="s">
        <v>138</v>
      </c>
      <c r="N725" t="s">
        <v>139</v>
      </c>
    </row>
    <row r="726" spans="1:14" x14ac:dyDescent="0.25">
      <c r="A726" t="s">
        <v>1204</v>
      </c>
      <c r="B726" t="s">
        <v>910</v>
      </c>
      <c r="C726" t="s">
        <v>911</v>
      </c>
      <c r="D726">
        <v>46040</v>
      </c>
      <c r="E726" t="s">
        <v>31</v>
      </c>
      <c r="F726" t="s">
        <v>143</v>
      </c>
      <c r="G726" t="s">
        <v>98</v>
      </c>
      <c r="H726" t="s">
        <v>32</v>
      </c>
      <c r="I726">
        <v>5</v>
      </c>
      <c r="J726">
        <v>1475945</v>
      </c>
      <c r="K726">
        <v>35000</v>
      </c>
      <c r="L726" t="s">
        <v>137</v>
      </c>
      <c r="M726" t="s">
        <v>161</v>
      </c>
      <c r="N726" t="s">
        <v>156</v>
      </c>
    </row>
    <row r="727" spans="1:14" x14ac:dyDescent="0.25">
      <c r="A727" t="s">
        <v>1205</v>
      </c>
      <c r="B727" t="s">
        <v>1206</v>
      </c>
      <c r="C727" t="s">
        <v>495</v>
      </c>
      <c r="D727">
        <v>46184</v>
      </c>
      <c r="E727" t="s">
        <v>27</v>
      </c>
      <c r="F727" t="s">
        <v>160</v>
      </c>
      <c r="G727" t="s">
        <v>147</v>
      </c>
      <c r="H727" t="s">
        <v>29</v>
      </c>
      <c r="I727">
        <v>6</v>
      </c>
      <c r="J727">
        <v>785226</v>
      </c>
      <c r="K727">
        <v>25000</v>
      </c>
      <c r="L727" t="s">
        <v>137</v>
      </c>
      <c r="M727" t="s">
        <v>138</v>
      </c>
      <c r="N727" t="s">
        <v>139</v>
      </c>
    </row>
    <row r="728" spans="1:14" x14ac:dyDescent="0.25">
      <c r="A728" t="s">
        <v>1207</v>
      </c>
      <c r="B728" t="s">
        <v>410</v>
      </c>
      <c r="C728" t="s">
        <v>411</v>
      </c>
      <c r="D728">
        <v>46118</v>
      </c>
      <c r="E728" t="s">
        <v>31</v>
      </c>
      <c r="F728" t="s">
        <v>143</v>
      </c>
      <c r="G728" t="s">
        <v>177</v>
      </c>
      <c r="H728" t="s">
        <v>25</v>
      </c>
      <c r="I728">
        <v>5</v>
      </c>
      <c r="J728">
        <v>657430</v>
      </c>
      <c r="K728">
        <v>25000</v>
      </c>
      <c r="L728" t="s">
        <v>37</v>
      </c>
      <c r="M728" t="s">
        <v>165</v>
      </c>
      <c r="N728" t="s">
        <v>156</v>
      </c>
    </row>
    <row r="729" spans="1:14" x14ac:dyDescent="0.25">
      <c r="A729" t="s">
        <v>1208</v>
      </c>
      <c r="B729" t="s">
        <v>1209</v>
      </c>
      <c r="C729" t="s">
        <v>301</v>
      </c>
      <c r="D729">
        <v>46103</v>
      </c>
      <c r="E729" t="s">
        <v>18</v>
      </c>
      <c r="F729" t="s">
        <v>1410</v>
      </c>
      <c r="G729" t="s">
        <v>136</v>
      </c>
      <c r="H729" t="s">
        <v>35</v>
      </c>
      <c r="I729">
        <v>5</v>
      </c>
      <c r="J729">
        <v>2117275</v>
      </c>
      <c r="K729">
        <v>25000</v>
      </c>
      <c r="L729" t="s">
        <v>137</v>
      </c>
      <c r="M729" t="s">
        <v>165</v>
      </c>
      <c r="N729" t="s">
        <v>156</v>
      </c>
    </row>
    <row r="730" spans="1:14" x14ac:dyDescent="0.25">
      <c r="A730" t="s">
        <v>1210</v>
      </c>
      <c r="B730" t="s">
        <v>743</v>
      </c>
      <c r="C730" t="s">
        <v>164</v>
      </c>
      <c r="D730">
        <v>46174</v>
      </c>
      <c r="E730" t="s">
        <v>34</v>
      </c>
      <c r="F730" t="s">
        <v>1385</v>
      </c>
      <c r="G730" t="s">
        <v>39</v>
      </c>
      <c r="H730" t="s">
        <v>29</v>
      </c>
      <c r="I730">
        <v>4</v>
      </c>
      <c r="J730">
        <v>1114125</v>
      </c>
      <c r="K730">
        <v>15000</v>
      </c>
      <c r="L730" t="s">
        <v>137</v>
      </c>
      <c r="M730" t="s">
        <v>165</v>
      </c>
      <c r="N730" t="s">
        <v>139</v>
      </c>
    </row>
    <row r="731" spans="1:14" x14ac:dyDescent="0.25">
      <c r="A731" t="s">
        <v>1211</v>
      </c>
      <c r="B731" t="s">
        <v>739</v>
      </c>
      <c r="C731" t="s">
        <v>192</v>
      </c>
      <c r="D731">
        <v>46158</v>
      </c>
      <c r="E731" t="s">
        <v>34</v>
      </c>
      <c r="F731" t="s">
        <v>160</v>
      </c>
      <c r="G731" t="s">
        <v>39</v>
      </c>
      <c r="H731" t="s">
        <v>32</v>
      </c>
      <c r="I731">
        <v>5</v>
      </c>
      <c r="J731">
        <v>2179153</v>
      </c>
      <c r="K731">
        <v>35000</v>
      </c>
      <c r="L731" t="s">
        <v>43</v>
      </c>
      <c r="M731" t="s">
        <v>149</v>
      </c>
      <c r="N731" t="s">
        <v>156</v>
      </c>
    </row>
    <row r="732" spans="1:14" x14ac:dyDescent="0.25">
      <c r="A732" t="s">
        <v>1212</v>
      </c>
      <c r="B732" t="s">
        <v>467</v>
      </c>
      <c r="C732" t="s">
        <v>198</v>
      </c>
      <c r="D732">
        <v>46093</v>
      </c>
      <c r="E732" t="s">
        <v>99</v>
      </c>
      <c r="F732" t="s">
        <v>160</v>
      </c>
      <c r="G732" t="s">
        <v>136</v>
      </c>
      <c r="H732" t="s">
        <v>25</v>
      </c>
      <c r="I732">
        <v>7</v>
      </c>
      <c r="J732">
        <v>720135</v>
      </c>
      <c r="K732">
        <v>25000</v>
      </c>
      <c r="L732" t="s">
        <v>137</v>
      </c>
      <c r="M732" t="s">
        <v>138</v>
      </c>
      <c r="N732" t="s">
        <v>139</v>
      </c>
    </row>
    <row r="733" spans="1:14" x14ac:dyDescent="0.25">
      <c r="A733" t="s">
        <v>1213</v>
      </c>
      <c r="B733" t="s">
        <v>1132</v>
      </c>
      <c r="C733" t="s">
        <v>287</v>
      </c>
      <c r="D733">
        <v>46060</v>
      </c>
      <c r="E733" t="s">
        <v>18</v>
      </c>
      <c r="F733" t="s">
        <v>160</v>
      </c>
      <c r="G733" t="s">
        <v>136</v>
      </c>
      <c r="H733" t="s">
        <v>20</v>
      </c>
      <c r="I733">
        <v>4</v>
      </c>
      <c r="J733">
        <v>1264028</v>
      </c>
      <c r="K733">
        <v>25000</v>
      </c>
      <c r="L733" t="s">
        <v>37</v>
      </c>
      <c r="M733" t="s">
        <v>165</v>
      </c>
      <c r="N733" t="s">
        <v>156</v>
      </c>
    </row>
    <row r="734" spans="1:14" x14ac:dyDescent="0.25">
      <c r="A734" t="s">
        <v>1214</v>
      </c>
      <c r="B734" t="s">
        <v>731</v>
      </c>
      <c r="C734" t="s">
        <v>287</v>
      </c>
      <c r="D734">
        <v>46152</v>
      </c>
      <c r="E734" t="s">
        <v>23</v>
      </c>
      <c r="F734" t="s">
        <v>1346</v>
      </c>
      <c r="G734" t="s">
        <v>136</v>
      </c>
      <c r="H734" t="s">
        <v>29</v>
      </c>
      <c r="I734">
        <v>7</v>
      </c>
      <c r="J734">
        <v>1304707</v>
      </c>
      <c r="K734">
        <v>15000</v>
      </c>
      <c r="L734" t="s">
        <v>137</v>
      </c>
      <c r="M734" t="s">
        <v>138</v>
      </c>
      <c r="N734" t="s">
        <v>156</v>
      </c>
    </row>
    <row r="735" spans="1:14" x14ac:dyDescent="0.25">
      <c r="A735" t="s">
        <v>1215</v>
      </c>
      <c r="B735" t="s">
        <v>403</v>
      </c>
      <c r="C735" t="s">
        <v>404</v>
      </c>
      <c r="D735">
        <v>46029</v>
      </c>
      <c r="E735" t="s">
        <v>18</v>
      </c>
      <c r="F735" t="s">
        <v>28</v>
      </c>
      <c r="G735" t="s">
        <v>169</v>
      </c>
      <c r="H735" t="s">
        <v>32</v>
      </c>
      <c r="I735">
        <v>1</v>
      </c>
      <c r="J735">
        <v>240885</v>
      </c>
      <c r="K735">
        <v>35000</v>
      </c>
      <c r="L735" t="s">
        <v>137</v>
      </c>
      <c r="M735" t="s">
        <v>165</v>
      </c>
      <c r="N735" t="s">
        <v>156</v>
      </c>
    </row>
    <row r="736" spans="1:14" x14ac:dyDescent="0.25">
      <c r="A736" t="s">
        <v>1216</v>
      </c>
      <c r="B736" t="s">
        <v>1217</v>
      </c>
      <c r="C736" t="s">
        <v>441</v>
      </c>
      <c r="D736">
        <v>46136</v>
      </c>
      <c r="E736" t="s">
        <v>27</v>
      </c>
      <c r="F736" t="s">
        <v>28</v>
      </c>
      <c r="G736" t="s">
        <v>136</v>
      </c>
      <c r="H736" t="s">
        <v>29</v>
      </c>
      <c r="I736">
        <v>3</v>
      </c>
      <c r="K736">
        <v>0</v>
      </c>
      <c r="L736" t="s">
        <v>137</v>
      </c>
      <c r="M736" t="s">
        <v>161</v>
      </c>
      <c r="N736" t="s">
        <v>156</v>
      </c>
    </row>
    <row r="737" spans="1:14" x14ac:dyDescent="0.25">
      <c r="A737" t="s">
        <v>1218</v>
      </c>
      <c r="B737" t="s">
        <v>770</v>
      </c>
      <c r="C737" t="s">
        <v>1411</v>
      </c>
      <c r="D737">
        <v>46027</v>
      </c>
      <c r="E737" t="s">
        <v>18</v>
      </c>
      <c r="F737" t="s">
        <v>1346</v>
      </c>
      <c r="G737" t="s">
        <v>169</v>
      </c>
      <c r="H737" t="s">
        <v>32</v>
      </c>
      <c r="I737">
        <v>7</v>
      </c>
      <c r="J737" t="s">
        <v>1219</v>
      </c>
      <c r="K737">
        <v>0</v>
      </c>
      <c r="L737" t="s">
        <v>137</v>
      </c>
      <c r="M737" t="s">
        <v>138</v>
      </c>
      <c r="N737" t="s">
        <v>156</v>
      </c>
    </row>
    <row r="738" spans="1:14" x14ac:dyDescent="0.25">
      <c r="A738" t="s">
        <v>1220</v>
      </c>
      <c r="B738" t="s">
        <v>962</v>
      </c>
      <c r="C738" t="s">
        <v>1412</v>
      </c>
      <c r="D738">
        <v>46134</v>
      </c>
      <c r="E738" t="s">
        <v>23</v>
      </c>
      <c r="F738" t="s">
        <v>1346</v>
      </c>
      <c r="G738" t="s">
        <v>136</v>
      </c>
      <c r="H738" t="s">
        <v>35</v>
      </c>
      <c r="I738">
        <v>2</v>
      </c>
      <c r="J738">
        <v>1478468</v>
      </c>
      <c r="K738">
        <v>35000</v>
      </c>
      <c r="L738" t="s">
        <v>137</v>
      </c>
      <c r="M738" t="s">
        <v>165</v>
      </c>
      <c r="N738" t="s">
        <v>156</v>
      </c>
    </row>
    <row r="739" spans="1:14" x14ac:dyDescent="0.25">
      <c r="A739" t="s">
        <v>1221</v>
      </c>
      <c r="B739" t="s">
        <v>492</v>
      </c>
      <c r="C739" t="s">
        <v>146</v>
      </c>
      <c r="D739">
        <v>46153</v>
      </c>
      <c r="E739" t="s">
        <v>18</v>
      </c>
      <c r="F739" t="s">
        <v>160</v>
      </c>
      <c r="G739" t="s">
        <v>147</v>
      </c>
      <c r="H739" t="s">
        <v>29</v>
      </c>
      <c r="I739">
        <v>4</v>
      </c>
      <c r="J739">
        <v>354290</v>
      </c>
      <c r="K739">
        <v>15000</v>
      </c>
      <c r="L739" t="s">
        <v>137</v>
      </c>
      <c r="M739" t="s">
        <v>161</v>
      </c>
      <c r="N739" t="s">
        <v>156</v>
      </c>
    </row>
    <row r="740" spans="1:14" x14ac:dyDescent="0.25">
      <c r="A740" t="s">
        <v>1222</v>
      </c>
      <c r="B740" t="s">
        <v>693</v>
      </c>
      <c r="C740" t="s">
        <v>164</v>
      </c>
      <c r="D740">
        <v>46115</v>
      </c>
      <c r="E740" t="s">
        <v>31</v>
      </c>
      <c r="F740" t="s">
        <v>28</v>
      </c>
      <c r="G740" t="s">
        <v>147</v>
      </c>
      <c r="H740" t="s">
        <v>20</v>
      </c>
      <c r="I740">
        <v>1</v>
      </c>
      <c r="J740">
        <v>1617706</v>
      </c>
      <c r="K740">
        <v>25000</v>
      </c>
      <c r="L740" t="s">
        <v>137</v>
      </c>
      <c r="M740" t="s">
        <v>138</v>
      </c>
      <c r="N740" t="s">
        <v>139</v>
      </c>
    </row>
    <row r="741" spans="1:14" x14ac:dyDescent="0.25">
      <c r="A741" t="s">
        <v>1223</v>
      </c>
      <c r="B741" t="s">
        <v>708</v>
      </c>
      <c r="C741" t="s">
        <v>220</v>
      </c>
      <c r="D741">
        <v>46124</v>
      </c>
      <c r="E741" t="s">
        <v>18</v>
      </c>
      <c r="F741" t="s">
        <v>160</v>
      </c>
      <c r="G741" t="s">
        <v>136</v>
      </c>
      <c r="H741" t="s">
        <v>29</v>
      </c>
      <c r="I741">
        <v>7</v>
      </c>
      <c r="J741">
        <v>770050</v>
      </c>
      <c r="K741">
        <v>50000</v>
      </c>
      <c r="L741" t="s">
        <v>137</v>
      </c>
      <c r="M741" t="s">
        <v>161</v>
      </c>
      <c r="N741" t="s">
        <v>156</v>
      </c>
    </row>
    <row r="742" spans="1:14" x14ac:dyDescent="0.25">
      <c r="A742" t="s">
        <v>1224</v>
      </c>
      <c r="B742" t="s">
        <v>525</v>
      </c>
      <c r="C742" t="s">
        <v>526</v>
      </c>
      <c r="D742">
        <v>46188</v>
      </c>
      <c r="E742" t="s">
        <v>31</v>
      </c>
      <c r="F742" t="s">
        <v>160</v>
      </c>
      <c r="G742" t="s">
        <v>173</v>
      </c>
      <c r="H742" t="s">
        <v>29</v>
      </c>
      <c r="I742">
        <v>1</v>
      </c>
      <c r="J742">
        <v>2459098</v>
      </c>
      <c r="K742">
        <v>0</v>
      </c>
      <c r="L742" t="s">
        <v>137</v>
      </c>
      <c r="M742" t="s">
        <v>138</v>
      </c>
      <c r="N742" t="s">
        <v>156</v>
      </c>
    </row>
    <row r="743" spans="1:14" x14ac:dyDescent="0.25">
      <c r="A743" t="s">
        <v>1225</v>
      </c>
      <c r="B743" t="s">
        <v>681</v>
      </c>
      <c r="C743" t="s">
        <v>317</v>
      </c>
      <c r="D743">
        <v>46058</v>
      </c>
      <c r="E743" t="s">
        <v>31</v>
      </c>
      <c r="F743" t="s">
        <v>160</v>
      </c>
      <c r="G743" t="s">
        <v>147</v>
      </c>
      <c r="H743" t="s">
        <v>25</v>
      </c>
      <c r="I743">
        <v>3</v>
      </c>
      <c r="J743">
        <v>2219600</v>
      </c>
      <c r="K743">
        <v>25000</v>
      </c>
      <c r="L743" t="s">
        <v>137</v>
      </c>
      <c r="M743" t="s">
        <v>138</v>
      </c>
      <c r="N743" t="s">
        <v>139</v>
      </c>
    </row>
    <row r="744" spans="1:14" x14ac:dyDescent="0.25">
      <c r="A744" t="s">
        <v>1226</v>
      </c>
      <c r="B744" t="s">
        <v>1227</v>
      </c>
      <c r="C744" t="s">
        <v>495</v>
      </c>
      <c r="D744">
        <v>46194</v>
      </c>
      <c r="E744" t="s">
        <v>87</v>
      </c>
      <c r="F744" t="s">
        <v>143</v>
      </c>
      <c r="G744" t="s">
        <v>147</v>
      </c>
      <c r="H744" t="s">
        <v>32</v>
      </c>
      <c r="I744">
        <v>1</v>
      </c>
      <c r="J744">
        <v>1860379</v>
      </c>
      <c r="K744">
        <v>50000</v>
      </c>
      <c r="L744" t="s">
        <v>137</v>
      </c>
      <c r="M744" t="s">
        <v>138</v>
      </c>
      <c r="N744" t="s">
        <v>156</v>
      </c>
    </row>
    <row r="745" spans="1:14" x14ac:dyDescent="0.25">
      <c r="A745" t="s">
        <v>1228</v>
      </c>
      <c r="B745" t="s">
        <v>866</v>
      </c>
      <c r="C745" t="s">
        <v>176</v>
      </c>
      <c r="D745">
        <v>46202</v>
      </c>
      <c r="E745" t="s">
        <v>31</v>
      </c>
      <c r="F745" t="s">
        <v>143</v>
      </c>
      <c r="G745" t="s">
        <v>177</v>
      </c>
      <c r="H745" t="s">
        <v>35</v>
      </c>
      <c r="I745">
        <v>3</v>
      </c>
      <c r="J745">
        <v>458175</v>
      </c>
      <c r="K745">
        <v>50000</v>
      </c>
      <c r="L745" t="s">
        <v>137</v>
      </c>
      <c r="M745" t="s">
        <v>165</v>
      </c>
      <c r="N745" t="s">
        <v>156</v>
      </c>
    </row>
    <row r="746" spans="1:14" x14ac:dyDescent="0.25">
      <c r="A746" t="s">
        <v>1229</v>
      </c>
      <c r="B746" t="s">
        <v>725</v>
      </c>
      <c r="C746" t="s">
        <v>726</v>
      </c>
      <c r="D746">
        <v>46183</v>
      </c>
      <c r="E746" t="s">
        <v>18</v>
      </c>
      <c r="F746" t="s">
        <v>1346</v>
      </c>
      <c r="G746" t="s">
        <v>136</v>
      </c>
      <c r="H746" t="s">
        <v>29</v>
      </c>
      <c r="I746">
        <v>5</v>
      </c>
      <c r="J746">
        <v>1300349</v>
      </c>
      <c r="K746">
        <v>25000</v>
      </c>
      <c r="L746" t="s">
        <v>137</v>
      </c>
      <c r="M746" t="s">
        <v>138</v>
      </c>
      <c r="N746" t="s">
        <v>139</v>
      </c>
    </row>
    <row r="747" spans="1:14" x14ac:dyDescent="0.25">
      <c r="A747" t="s">
        <v>1230</v>
      </c>
      <c r="B747" t="s">
        <v>194</v>
      </c>
      <c r="C747" t="s">
        <v>195</v>
      </c>
      <c r="D747">
        <v>46089</v>
      </c>
      <c r="E747" t="s">
        <v>27</v>
      </c>
      <c r="F747" t="s">
        <v>28</v>
      </c>
      <c r="G747" t="s">
        <v>177</v>
      </c>
      <c r="H747" t="s">
        <v>29</v>
      </c>
      <c r="I747">
        <v>6</v>
      </c>
      <c r="J747">
        <v>1766819</v>
      </c>
      <c r="K747">
        <v>0</v>
      </c>
      <c r="L747" t="s">
        <v>137</v>
      </c>
      <c r="M747" t="s">
        <v>161</v>
      </c>
      <c r="N747" t="s">
        <v>156</v>
      </c>
    </row>
    <row r="748" spans="1:14" x14ac:dyDescent="0.25">
      <c r="A748" t="s">
        <v>1231</v>
      </c>
      <c r="B748" t="s">
        <v>398</v>
      </c>
      <c r="C748" t="s">
        <v>399</v>
      </c>
      <c r="D748">
        <v>46122</v>
      </c>
      <c r="E748" t="s">
        <v>34</v>
      </c>
      <c r="F748" t="s">
        <v>143</v>
      </c>
      <c r="G748" t="s">
        <v>147</v>
      </c>
      <c r="H748" t="s">
        <v>25</v>
      </c>
      <c r="I748">
        <v>2</v>
      </c>
      <c r="J748">
        <v>567656</v>
      </c>
      <c r="K748">
        <v>15000</v>
      </c>
      <c r="L748" t="s">
        <v>137</v>
      </c>
      <c r="M748" t="s">
        <v>138</v>
      </c>
      <c r="N748" t="s">
        <v>139</v>
      </c>
    </row>
    <row r="749" spans="1:14" x14ac:dyDescent="0.25">
      <c r="A749" t="s">
        <v>1232</v>
      </c>
      <c r="B749" t="s">
        <v>571</v>
      </c>
      <c r="C749" t="s">
        <v>441</v>
      </c>
      <c r="E749" t="s">
        <v>34</v>
      </c>
      <c r="F749" t="s">
        <v>160</v>
      </c>
      <c r="G749" t="s">
        <v>177</v>
      </c>
      <c r="H749" t="s">
        <v>29</v>
      </c>
      <c r="I749">
        <v>7</v>
      </c>
      <c r="J749">
        <v>1083893</v>
      </c>
      <c r="K749">
        <v>50000</v>
      </c>
      <c r="L749" t="s">
        <v>137</v>
      </c>
      <c r="M749" t="s">
        <v>138</v>
      </c>
      <c r="N749" t="s">
        <v>139</v>
      </c>
    </row>
    <row r="750" spans="1:14" x14ac:dyDescent="0.25">
      <c r="A750" t="s">
        <v>1233</v>
      </c>
      <c r="B750" t="s">
        <v>897</v>
      </c>
      <c r="C750" t="s">
        <v>456</v>
      </c>
      <c r="D750">
        <v>46150</v>
      </c>
      <c r="E750" t="s">
        <v>31</v>
      </c>
      <c r="F750" t="s">
        <v>28</v>
      </c>
      <c r="G750" t="s">
        <v>147</v>
      </c>
      <c r="H750" t="s">
        <v>35</v>
      </c>
      <c r="I750">
        <v>4</v>
      </c>
      <c r="J750">
        <v>1749787</v>
      </c>
      <c r="K750">
        <v>25000</v>
      </c>
      <c r="L750" t="s">
        <v>37</v>
      </c>
      <c r="M750" t="s">
        <v>138</v>
      </c>
      <c r="N750" t="s">
        <v>139</v>
      </c>
    </row>
    <row r="751" spans="1:14" x14ac:dyDescent="0.25">
      <c r="A751" t="s">
        <v>1234</v>
      </c>
      <c r="B751" t="s">
        <v>519</v>
      </c>
      <c r="C751" t="s">
        <v>240</v>
      </c>
      <c r="D751">
        <v>46193</v>
      </c>
      <c r="E751" t="s">
        <v>23</v>
      </c>
      <c r="F751" t="s">
        <v>160</v>
      </c>
      <c r="G751" t="s">
        <v>173</v>
      </c>
      <c r="H751" t="s">
        <v>25</v>
      </c>
      <c r="I751">
        <v>5</v>
      </c>
      <c r="J751">
        <v>1162361</v>
      </c>
      <c r="K751">
        <v>0</v>
      </c>
      <c r="L751" t="s">
        <v>137</v>
      </c>
      <c r="M751" t="s">
        <v>161</v>
      </c>
      <c r="N751" t="s">
        <v>156</v>
      </c>
    </row>
    <row r="752" spans="1:14" x14ac:dyDescent="0.25">
      <c r="A752" t="s">
        <v>1235</v>
      </c>
      <c r="B752" t="s">
        <v>370</v>
      </c>
      <c r="C752" t="s">
        <v>180</v>
      </c>
      <c r="D752">
        <v>46136</v>
      </c>
      <c r="E752" t="s">
        <v>18</v>
      </c>
      <c r="F752" t="s">
        <v>28</v>
      </c>
      <c r="G752" t="s">
        <v>169</v>
      </c>
      <c r="H752" t="s">
        <v>25</v>
      </c>
      <c r="I752">
        <v>2</v>
      </c>
      <c r="J752">
        <v>1719795</v>
      </c>
      <c r="K752">
        <v>50000</v>
      </c>
      <c r="L752" t="s">
        <v>137</v>
      </c>
      <c r="M752" t="s">
        <v>138</v>
      </c>
      <c r="N752" t="s">
        <v>156</v>
      </c>
    </row>
    <row r="753" spans="1:14" x14ac:dyDescent="0.25">
      <c r="A753" t="s">
        <v>1236</v>
      </c>
      <c r="B753" t="s">
        <v>151</v>
      </c>
      <c r="C753" t="s">
        <v>152</v>
      </c>
      <c r="D753">
        <v>46129</v>
      </c>
      <c r="E753" t="s">
        <v>18</v>
      </c>
      <c r="F753" t="s">
        <v>1346</v>
      </c>
      <c r="G753" t="s">
        <v>39</v>
      </c>
      <c r="H753" t="s">
        <v>29</v>
      </c>
      <c r="I753">
        <v>7</v>
      </c>
      <c r="J753">
        <v>213929</v>
      </c>
      <c r="K753">
        <v>25000</v>
      </c>
      <c r="L753" t="s">
        <v>137</v>
      </c>
      <c r="M753" t="s">
        <v>161</v>
      </c>
      <c r="N753" t="s">
        <v>156</v>
      </c>
    </row>
    <row r="754" spans="1:14" x14ac:dyDescent="0.25">
      <c r="A754" t="s">
        <v>1237</v>
      </c>
      <c r="B754" t="s">
        <v>733</v>
      </c>
      <c r="C754" t="s">
        <v>726</v>
      </c>
      <c r="D754" t="s">
        <v>1413</v>
      </c>
      <c r="E754" t="s">
        <v>18</v>
      </c>
      <c r="F754" t="s">
        <v>28</v>
      </c>
      <c r="G754" t="s">
        <v>147</v>
      </c>
      <c r="H754" t="s">
        <v>35</v>
      </c>
      <c r="I754">
        <v>2</v>
      </c>
      <c r="J754">
        <v>247370</v>
      </c>
      <c r="K754">
        <v>35000</v>
      </c>
      <c r="L754" t="s">
        <v>137</v>
      </c>
      <c r="M754" t="s">
        <v>161</v>
      </c>
      <c r="N754" t="s">
        <v>139</v>
      </c>
    </row>
    <row r="755" spans="1:14" x14ac:dyDescent="0.25">
      <c r="A755" t="s">
        <v>1238</v>
      </c>
      <c r="B755" t="s">
        <v>239</v>
      </c>
      <c r="C755" t="s">
        <v>240</v>
      </c>
      <c r="D755">
        <v>46028</v>
      </c>
      <c r="E755" t="s">
        <v>23</v>
      </c>
      <c r="F755" t="s">
        <v>28</v>
      </c>
      <c r="G755" t="s">
        <v>169</v>
      </c>
      <c r="H755" t="s">
        <v>32</v>
      </c>
      <c r="I755">
        <v>1</v>
      </c>
      <c r="J755">
        <v>2482360</v>
      </c>
      <c r="K755">
        <v>35000</v>
      </c>
      <c r="L755" t="s">
        <v>137</v>
      </c>
      <c r="M755" t="s">
        <v>199</v>
      </c>
      <c r="N755" t="s">
        <v>156</v>
      </c>
    </row>
    <row r="756" spans="1:14" x14ac:dyDescent="0.25">
      <c r="A756" t="s">
        <v>1239</v>
      </c>
      <c r="B756" t="s">
        <v>421</v>
      </c>
      <c r="C756" t="s">
        <v>340</v>
      </c>
      <c r="D756">
        <v>46150</v>
      </c>
      <c r="E756" t="s">
        <v>23</v>
      </c>
      <c r="F756" t="s">
        <v>160</v>
      </c>
      <c r="G756" t="s">
        <v>136</v>
      </c>
      <c r="H756" t="s">
        <v>25</v>
      </c>
      <c r="I756">
        <v>4</v>
      </c>
      <c r="J756">
        <v>1933984</v>
      </c>
      <c r="K756">
        <v>35000</v>
      </c>
      <c r="L756" t="s">
        <v>137</v>
      </c>
      <c r="M756" t="s">
        <v>161</v>
      </c>
      <c r="N756" t="s">
        <v>139</v>
      </c>
    </row>
    <row r="757" spans="1:14" x14ac:dyDescent="0.25">
      <c r="A757" t="s">
        <v>1240</v>
      </c>
      <c r="B757" t="s">
        <v>316</v>
      </c>
      <c r="C757" t="s">
        <v>317</v>
      </c>
      <c r="D757">
        <v>46091</v>
      </c>
      <c r="E757" t="s">
        <v>23</v>
      </c>
      <c r="F757" t="s">
        <v>160</v>
      </c>
      <c r="G757" t="s">
        <v>147</v>
      </c>
      <c r="H757" t="s">
        <v>32</v>
      </c>
      <c r="I757">
        <v>7</v>
      </c>
      <c r="J757">
        <v>222395</v>
      </c>
      <c r="K757">
        <v>25000</v>
      </c>
      <c r="L757" t="s">
        <v>137</v>
      </c>
      <c r="M757" t="s">
        <v>138</v>
      </c>
      <c r="N757" t="s">
        <v>139</v>
      </c>
    </row>
    <row r="758" spans="1:14" x14ac:dyDescent="0.25">
      <c r="A758" t="s">
        <v>1241</v>
      </c>
      <c r="B758" t="s">
        <v>467</v>
      </c>
      <c r="C758" t="s">
        <v>198</v>
      </c>
      <c r="D758">
        <v>46082</v>
      </c>
      <c r="E758" t="s">
        <v>31</v>
      </c>
      <c r="F758" t="s">
        <v>143</v>
      </c>
      <c r="G758" t="s">
        <v>136</v>
      </c>
      <c r="H758" t="s">
        <v>25</v>
      </c>
      <c r="I758">
        <v>3</v>
      </c>
      <c r="J758">
        <v>318367</v>
      </c>
      <c r="K758">
        <v>25000</v>
      </c>
      <c r="L758" t="s">
        <v>137</v>
      </c>
      <c r="M758" t="s">
        <v>138</v>
      </c>
      <c r="N758" t="s">
        <v>156</v>
      </c>
    </row>
    <row r="759" spans="1:14" x14ac:dyDescent="0.25">
      <c r="A759" t="s">
        <v>1242</v>
      </c>
      <c r="B759" t="s">
        <v>770</v>
      </c>
      <c r="C759" t="s">
        <v>246</v>
      </c>
      <c r="D759">
        <v>46186</v>
      </c>
      <c r="E759" t="s">
        <v>34</v>
      </c>
      <c r="F759" t="s">
        <v>1346</v>
      </c>
      <c r="G759" t="s">
        <v>177</v>
      </c>
      <c r="H759" t="s">
        <v>32</v>
      </c>
      <c r="I759">
        <v>2</v>
      </c>
      <c r="J759">
        <v>1574533</v>
      </c>
      <c r="K759">
        <v>35000</v>
      </c>
      <c r="L759" t="s">
        <v>137</v>
      </c>
      <c r="M759" t="s">
        <v>138</v>
      </c>
      <c r="N759" t="s">
        <v>139</v>
      </c>
    </row>
    <row r="760" spans="1:14" x14ac:dyDescent="0.25">
      <c r="A760" t="s">
        <v>1243</v>
      </c>
      <c r="B760" t="s">
        <v>644</v>
      </c>
      <c r="C760" t="s">
        <v>337</v>
      </c>
      <c r="D760">
        <v>46133</v>
      </c>
      <c r="E760" t="s">
        <v>31</v>
      </c>
      <c r="F760" t="s">
        <v>28</v>
      </c>
      <c r="G760" t="s">
        <v>147</v>
      </c>
      <c r="H760" t="s">
        <v>29</v>
      </c>
      <c r="I760">
        <v>3</v>
      </c>
      <c r="J760">
        <v>482578</v>
      </c>
      <c r="K760">
        <v>50000</v>
      </c>
      <c r="L760" t="s">
        <v>417</v>
      </c>
      <c r="M760" t="s">
        <v>165</v>
      </c>
      <c r="N760" t="s">
        <v>156</v>
      </c>
    </row>
    <row r="761" spans="1:14" x14ac:dyDescent="0.25">
      <c r="A761" t="s">
        <v>1244</v>
      </c>
      <c r="B761" t="s">
        <v>410</v>
      </c>
      <c r="C761" t="s">
        <v>411</v>
      </c>
      <c r="D761">
        <v>46152</v>
      </c>
      <c r="E761" t="s">
        <v>18</v>
      </c>
      <c r="F761" t="s">
        <v>143</v>
      </c>
      <c r="G761" t="s">
        <v>177</v>
      </c>
      <c r="H761" t="s">
        <v>32</v>
      </c>
      <c r="I761">
        <v>3</v>
      </c>
      <c r="J761">
        <v>728385</v>
      </c>
      <c r="K761">
        <v>50000</v>
      </c>
      <c r="L761" t="s">
        <v>137</v>
      </c>
      <c r="M761" t="s">
        <v>165</v>
      </c>
      <c r="N761" t="s">
        <v>156</v>
      </c>
    </row>
    <row r="762" spans="1:14" x14ac:dyDescent="0.25">
      <c r="A762" t="s">
        <v>1245</v>
      </c>
      <c r="B762" t="s">
        <v>1246</v>
      </c>
      <c r="C762" t="s">
        <v>284</v>
      </c>
      <c r="D762">
        <v>46130</v>
      </c>
      <c r="E762" t="s">
        <v>23</v>
      </c>
      <c r="F762" t="s">
        <v>1346</v>
      </c>
      <c r="G762" t="s">
        <v>147</v>
      </c>
      <c r="H762" t="s">
        <v>92</v>
      </c>
      <c r="I762">
        <v>5</v>
      </c>
      <c r="J762">
        <v>589258</v>
      </c>
      <c r="K762">
        <v>50000</v>
      </c>
      <c r="L762" t="s">
        <v>137</v>
      </c>
      <c r="M762" t="s">
        <v>161</v>
      </c>
      <c r="N762" t="s">
        <v>156</v>
      </c>
    </row>
    <row r="763" spans="1:14" x14ac:dyDescent="0.25">
      <c r="A763" t="s">
        <v>1247</v>
      </c>
      <c r="B763" t="s">
        <v>274</v>
      </c>
      <c r="C763" t="s">
        <v>192</v>
      </c>
      <c r="D763">
        <v>46108</v>
      </c>
      <c r="E763" t="s">
        <v>27</v>
      </c>
      <c r="F763" t="s">
        <v>28</v>
      </c>
      <c r="G763" t="s">
        <v>147</v>
      </c>
      <c r="H763" t="s">
        <v>32</v>
      </c>
      <c r="I763">
        <v>3</v>
      </c>
      <c r="J763">
        <v>2171769</v>
      </c>
      <c r="K763">
        <v>0</v>
      </c>
      <c r="L763" t="s">
        <v>137</v>
      </c>
      <c r="M763" t="s">
        <v>165</v>
      </c>
      <c r="N763" t="s">
        <v>156</v>
      </c>
    </row>
    <row r="764" spans="1:14" x14ac:dyDescent="0.25">
      <c r="A764" t="s">
        <v>1248</v>
      </c>
      <c r="B764" t="s">
        <v>319</v>
      </c>
      <c r="C764" t="s">
        <v>320</v>
      </c>
      <c r="D764">
        <v>46112</v>
      </c>
      <c r="E764" t="s">
        <v>18</v>
      </c>
      <c r="F764" t="s">
        <v>160</v>
      </c>
      <c r="G764" t="s">
        <v>147</v>
      </c>
      <c r="H764" t="s">
        <v>20</v>
      </c>
      <c r="I764">
        <v>2</v>
      </c>
      <c r="J764">
        <v>1831269</v>
      </c>
      <c r="K764">
        <v>0</v>
      </c>
      <c r="L764" t="s">
        <v>137</v>
      </c>
      <c r="M764" t="s">
        <v>138</v>
      </c>
      <c r="N764" t="s">
        <v>139</v>
      </c>
    </row>
    <row r="765" spans="1:14" x14ac:dyDescent="0.25">
      <c r="A765" t="s">
        <v>1249</v>
      </c>
      <c r="B765" t="s">
        <v>225</v>
      </c>
      <c r="C765" t="s">
        <v>226</v>
      </c>
      <c r="D765">
        <v>46041</v>
      </c>
      <c r="E765" t="s">
        <v>27</v>
      </c>
      <c r="F765" t="s">
        <v>160</v>
      </c>
      <c r="G765" t="s">
        <v>177</v>
      </c>
      <c r="H765" t="s">
        <v>20</v>
      </c>
      <c r="I765">
        <v>7</v>
      </c>
      <c r="J765">
        <v>1405788</v>
      </c>
      <c r="K765">
        <v>15000</v>
      </c>
      <c r="L765" t="s">
        <v>137</v>
      </c>
      <c r="M765" t="s">
        <v>165</v>
      </c>
      <c r="N765" t="s">
        <v>156</v>
      </c>
    </row>
    <row r="766" spans="1:14" x14ac:dyDescent="0.25">
      <c r="A766" t="s">
        <v>1250</v>
      </c>
      <c r="B766" t="s">
        <v>365</v>
      </c>
      <c r="C766" t="s">
        <v>240</v>
      </c>
      <c r="D766">
        <v>46098</v>
      </c>
      <c r="E766" t="s">
        <v>31</v>
      </c>
      <c r="F766" t="s">
        <v>160</v>
      </c>
      <c r="G766" t="s">
        <v>39</v>
      </c>
      <c r="H766" t="s">
        <v>25</v>
      </c>
      <c r="I766">
        <v>2</v>
      </c>
      <c r="J766">
        <v>627827</v>
      </c>
      <c r="K766">
        <v>15000</v>
      </c>
      <c r="L766" t="s">
        <v>148</v>
      </c>
      <c r="M766" t="s">
        <v>161</v>
      </c>
      <c r="N766" t="s">
        <v>139</v>
      </c>
    </row>
    <row r="767" spans="1:14" x14ac:dyDescent="0.25">
      <c r="A767" t="s">
        <v>1251</v>
      </c>
      <c r="B767" t="s">
        <v>662</v>
      </c>
      <c r="C767" t="s">
        <v>223</v>
      </c>
      <c r="D767">
        <v>46201</v>
      </c>
      <c r="E767" t="s">
        <v>27</v>
      </c>
      <c r="F767" t="s">
        <v>28</v>
      </c>
      <c r="G767" t="s">
        <v>169</v>
      </c>
      <c r="H767" t="s">
        <v>35</v>
      </c>
      <c r="I767">
        <v>4</v>
      </c>
      <c r="J767">
        <v>1379194</v>
      </c>
      <c r="K767">
        <v>25000</v>
      </c>
      <c r="L767" t="s">
        <v>137</v>
      </c>
      <c r="M767" t="s">
        <v>161</v>
      </c>
      <c r="N767" t="s">
        <v>156</v>
      </c>
    </row>
    <row r="768" spans="1:14" x14ac:dyDescent="0.25">
      <c r="A768" t="s">
        <v>1252</v>
      </c>
      <c r="B768" t="s">
        <v>462</v>
      </c>
      <c r="C768" t="s">
        <v>202</v>
      </c>
      <c r="D768">
        <v>46148</v>
      </c>
      <c r="E768" t="s">
        <v>31</v>
      </c>
      <c r="F768" t="s">
        <v>28</v>
      </c>
      <c r="G768" t="s">
        <v>1359</v>
      </c>
      <c r="H768" t="s">
        <v>20</v>
      </c>
      <c r="I768">
        <v>3</v>
      </c>
      <c r="J768">
        <v>252196</v>
      </c>
      <c r="K768">
        <v>35000</v>
      </c>
      <c r="L768" t="s">
        <v>137</v>
      </c>
      <c r="M768" t="s">
        <v>161</v>
      </c>
      <c r="N768" t="s">
        <v>139</v>
      </c>
    </row>
    <row r="769" spans="1:14" x14ac:dyDescent="0.25">
      <c r="A769" t="s">
        <v>1253</v>
      </c>
      <c r="B769" t="s">
        <v>209</v>
      </c>
      <c r="C769" t="s">
        <v>210</v>
      </c>
      <c r="D769" t="s">
        <v>1394</v>
      </c>
      <c r="E769" t="s">
        <v>23</v>
      </c>
      <c r="F769" t="s">
        <v>28</v>
      </c>
      <c r="G769" t="s">
        <v>136</v>
      </c>
      <c r="H769" t="s">
        <v>35</v>
      </c>
      <c r="I769">
        <v>1</v>
      </c>
      <c r="J769">
        <v>1592431</v>
      </c>
      <c r="K769">
        <v>35000</v>
      </c>
      <c r="L769" t="s">
        <v>137</v>
      </c>
      <c r="M769" t="s">
        <v>149</v>
      </c>
      <c r="N769" t="s">
        <v>156</v>
      </c>
    </row>
    <row r="770" spans="1:14" x14ac:dyDescent="0.25">
      <c r="A770" t="s">
        <v>1254</v>
      </c>
      <c r="B770" t="s">
        <v>443</v>
      </c>
      <c r="C770" t="s">
        <v>246</v>
      </c>
      <c r="D770">
        <v>46085</v>
      </c>
      <c r="E770" t="s">
        <v>31</v>
      </c>
      <c r="F770" t="s">
        <v>160</v>
      </c>
      <c r="G770" t="s">
        <v>136</v>
      </c>
      <c r="H770" t="s">
        <v>25</v>
      </c>
      <c r="I770">
        <v>4</v>
      </c>
      <c r="J770">
        <v>514288</v>
      </c>
      <c r="K770">
        <v>35000</v>
      </c>
      <c r="L770" t="s">
        <v>137</v>
      </c>
      <c r="M770" t="s">
        <v>161</v>
      </c>
      <c r="N770" t="s">
        <v>139</v>
      </c>
    </row>
    <row r="771" spans="1:14" x14ac:dyDescent="0.25">
      <c r="A771" t="s">
        <v>1255</v>
      </c>
      <c r="B771" t="s">
        <v>248</v>
      </c>
      <c r="C771" t="s">
        <v>226</v>
      </c>
      <c r="D771">
        <v>46180</v>
      </c>
      <c r="E771" t="s">
        <v>23</v>
      </c>
      <c r="F771" t="s">
        <v>28</v>
      </c>
      <c r="G771" t="s">
        <v>173</v>
      </c>
      <c r="H771" t="s">
        <v>35</v>
      </c>
      <c r="I771">
        <v>1</v>
      </c>
      <c r="J771">
        <v>1842210</v>
      </c>
      <c r="K771">
        <v>0</v>
      </c>
      <c r="L771" t="s">
        <v>137</v>
      </c>
      <c r="M771" t="s">
        <v>138</v>
      </c>
      <c r="N771" t="s">
        <v>156</v>
      </c>
    </row>
    <row r="772" spans="1:14" x14ac:dyDescent="0.25">
      <c r="A772" t="s">
        <v>1256</v>
      </c>
      <c r="B772" t="s">
        <v>571</v>
      </c>
      <c r="C772" t="s">
        <v>441</v>
      </c>
      <c r="D772">
        <v>46093</v>
      </c>
      <c r="E772" t="s">
        <v>23</v>
      </c>
      <c r="F772" t="s">
        <v>1374</v>
      </c>
      <c r="G772" t="s">
        <v>147</v>
      </c>
      <c r="H772" t="s">
        <v>20</v>
      </c>
      <c r="I772">
        <v>7</v>
      </c>
      <c r="J772">
        <v>2489991</v>
      </c>
      <c r="K772">
        <v>35000</v>
      </c>
      <c r="L772" t="s">
        <v>43</v>
      </c>
      <c r="M772" t="s">
        <v>138</v>
      </c>
      <c r="N772" t="s">
        <v>139</v>
      </c>
    </row>
    <row r="773" spans="1:14" x14ac:dyDescent="0.25">
      <c r="A773" t="s">
        <v>1257</v>
      </c>
      <c r="B773" t="s">
        <v>429</v>
      </c>
      <c r="C773" t="s">
        <v>164</v>
      </c>
      <c r="D773">
        <v>46138</v>
      </c>
      <c r="E773" t="s">
        <v>23</v>
      </c>
      <c r="F773" t="s">
        <v>143</v>
      </c>
      <c r="G773" t="s">
        <v>173</v>
      </c>
      <c r="H773" t="s">
        <v>29</v>
      </c>
      <c r="I773">
        <v>1</v>
      </c>
      <c r="J773">
        <v>1350564</v>
      </c>
      <c r="K773">
        <v>15000</v>
      </c>
      <c r="L773" t="s">
        <v>137</v>
      </c>
      <c r="M773" t="s">
        <v>161</v>
      </c>
      <c r="N773" t="s">
        <v>139</v>
      </c>
    </row>
    <row r="774" spans="1:14" x14ac:dyDescent="0.25">
      <c r="A774" t="s">
        <v>1258</v>
      </c>
      <c r="B774" t="s">
        <v>283</v>
      </c>
      <c r="C774" t="s">
        <v>284</v>
      </c>
      <c r="D774">
        <v>46086</v>
      </c>
      <c r="E774" t="s">
        <v>18</v>
      </c>
      <c r="F774" t="s">
        <v>28</v>
      </c>
      <c r="G774" t="s">
        <v>173</v>
      </c>
      <c r="H774" t="s">
        <v>25</v>
      </c>
      <c r="I774">
        <v>7</v>
      </c>
      <c r="J774">
        <v>143876</v>
      </c>
      <c r="K774">
        <v>35000</v>
      </c>
      <c r="L774" t="s">
        <v>137</v>
      </c>
      <c r="M774" t="s">
        <v>390</v>
      </c>
      <c r="N774" t="s">
        <v>156</v>
      </c>
    </row>
    <row r="775" spans="1:14" x14ac:dyDescent="0.25">
      <c r="A775" t="s">
        <v>1259</v>
      </c>
      <c r="B775" t="s">
        <v>722</v>
      </c>
      <c r="C775" t="s">
        <v>172</v>
      </c>
      <c r="D775">
        <v>46110</v>
      </c>
      <c r="E775" t="s">
        <v>23</v>
      </c>
      <c r="F775" t="s">
        <v>160</v>
      </c>
      <c r="G775" t="s">
        <v>177</v>
      </c>
      <c r="H775" t="s">
        <v>29</v>
      </c>
      <c r="I775">
        <v>6</v>
      </c>
      <c r="J775">
        <v>2189264</v>
      </c>
      <c r="K775">
        <v>15000</v>
      </c>
      <c r="L775" t="s">
        <v>137</v>
      </c>
      <c r="M775" t="s">
        <v>138</v>
      </c>
      <c r="N775" t="s">
        <v>156</v>
      </c>
    </row>
    <row r="776" spans="1:14" x14ac:dyDescent="0.25">
      <c r="A776" t="s">
        <v>1260</v>
      </c>
      <c r="B776" t="s">
        <v>758</v>
      </c>
      <c r="C776" t="s">
        <v>759</v>
      </c>
      <c r="D776">
        <v>46177</v>
      </c>
      <c r="E776" t="s">
        <v>31</v>
      </c>
      <c r="F776" t="s">
        <v>160</v>
      </c>
      <c r="G776" t="s">
        <v>169</v>
      </c>
      <c r="H776" t="s">
        <v>35</v>
      </c>
      <c r="I776">
        <v>4</v>
      </c>
      <c r="J776">
        <v>2480431</v>
      </c>
      <c r="K776">
        <v>0</v>
      </c>
      <c r="L776" t="s">
        <v>137</v>
      </c>
      <c r="M776" t="s">
        <v>165</v>
      </c>
      <c r="N776" t="s">
        <v>139</v>
      </c>
    </row>
    <row r="777" spans="1:14" x14ac:dyDescent="0.25">
      <c r="A777" t="s">
        <v>1261</v>
      </c>
      <c r="B777" t="s">
        <v>943</v>
      </c>
      <c r="C777" t="s">
        <v>435</v>
      </c>
      <c r="D777">
        <v>46162</v>
      </c>
      <c r="E777" t="s">
        <v>31</v>
      </c>
      <c r="F777" t="s">
        <v>160</v>
      </c>
      <c r="G777" t="s">
        <v>173</v>
      </c>
      <c r="H777" t="s">
        <v>20</v>
      </c>
      <c r="I777">
        <v>4</v>
      </c>
      <c r="J777">
        <v>565972</v>
      </c>
      <c r="K777">
        <v>35000</v>
      </c>
      <c r="L777" t="s">
        <v>137</v>
      </c>
      <c r="M777" t="s">
        <v>138</v>
      </c>
      <c r="N777" t="s">
        <v>139</v>
      </c>
    </row>
    <row r="778" spans="1:14" x14ac:dyDescent="0.25">
      <c r="A778" t="s">
        <v>1262</v>
      </c>
      <c r="B778" t="s">
        <v>839</v>
      </c>
      <c r="C778" t="s">
        <v>526</v>
      </c>
      <c r="D778">
        <v>46193</v>
      </c>
      <c r="E778" t="s">
        <v>18</v>
      </c>
      <c r="F778" t="s">
        <v>160</v>
      </c>
      <c r="G778" t="s">
        <v>173</v>
      </c>
      <c r="H778" t="s">
        <v>29</v>
      </c>
      <c r="I778">
        <v>4</v>
      </c>
      <c r="J778" t="s">
        <v>1263</v>
      </c>
      <c r="K778">
        <v>35000</v>
      </c>
      <c r="L778" t="s">
        <v>137</v>
      </c>
      <c r="M778" t="s">
        <v>161</v>
      </c>
      <c r="N778" t="s">
        <v>156</v>
      </c>
    </row>
    <row r="779" spans="1:14" x14ac:dyDescent="0.25">
      <c r="A779" t="s">
        <v>1264</v>
      </c>
      <c r="B779" t="s">
        <v>705</v>
      </c>
      <c r="C779" t="s">
        <v>502</v>
      </c>
      <c r="D779">
        <v>46070</v>
      </c>
      <c r="E779" t="s">
        <v>23</v>
      </c>
      <c r="F779" t="s">
        <v>143</v>
      </c>
      <c r="G779" t="s">
        <v>147</v>
      </c>
      <c r="H779" t="s">
        <v>32</v>
      </c>
      <c r="I779">
        <v>6</v>
      </c>
      <c r="J779">
        <v>944252</v>
      </c>
      <c r="K779">
        <v>35000</v>
      </c>
      <c r="L779" t="s">
        <v>93</v>
      </c>
      <c r="M779" t="s">
        <v>138</v>
      </c>
      <c r="N779" t="s">
        <v>156</v>
      </c>
    </row>
    <row r="780" spans="1:14" x14ac:dyDescent="0.25">
      <c r="A780" t="s">
        <v>1265</v>
      </c>
      <c r="B780" t="s">
        <v>1132</v>
      </c>
      <c r="C780" t="s">
        <v>1401</v>
      </c>
      <c r="D780">
        <v>46033</v>
      </c>
      <c r="E780" t="s">
        <v>31</v>
      </c>
      <c r="F780" t="s">
        <v>160</v>
      </c>
      <c r="G780" t="s">
        <v>136</v>
      </c>
      <c r="H780" t="s">
        <v>20</v>
      </c>
      <c r="I780">
        <v>2</v>
      </c>
      <c r="J780">
        <v>1094119</v>
      </c>
      <c r="K780">
        <v>15000</v>
      </c>
      <c r="L780" t="s">
        <v>137</v>
      </c>
      <c r="M780" t="s">
        <v>138</v>
      </c>
      <c r="N780" t="s">
        <v>156</v>
      </c>
    </row>
    <row r="781" spans="1:14" x14ac:dyDescent="0.25">
      <c r="A781" t="s">
        <v>1266</v>
      </c>
      <c r="B781" t="s">
        <v>560</v>
      </c>
      <c r="C781" t="s">
        <v>164</v>
      </c>
      <c r="D781">
        <v>46157</v>
      </c>
      <c r="E781" t="s">
        <v>87</v>
      </c>
      <c r="F781" t="s">
        <v>1346</v>
      </c>
      <c r="G781" t="s">
        <v>177</v>
      </c>
      <c r="H781" t="s">
        <v>90</v>
      </c>
      <c r="I781">
        <v>5</v>
      </c>
      <c r="J781">
        <v>1235213</v>
      </c>
      <c r="K781">
        <v>50000</v>
      </c>
      <c r="L781" t="s">
        <v>137</v>
      </c>
      <c r="M781" t="s">
        <v>165</v>
      </c>
      <c r="N781" t="s">
        <v>156</v>
      </c>
    </row>
    <row r="782" spans="1:14" x14ac:dyDescent="0.25">
      <c r="A782" t="s">
        <v>1267</v>
      </c>
      <c r="B782" t="s">
        <v>376</v>
      </c>
      <c r="C782" t="s">
        <v>261</v>
      </c>
      <c r="D782">
        <v>46192</v>
      </c>
      <c r="E782" t="s">
        <v>27</v>
      </c>
      <c r="F782" t="s">
        <v>160</v>
      </c>
      <c r="G782" t="s">
        <v>177</v>
      </c>
      <c r="H782" t="s">
        <v>29</v>
      </c>
      <c r="J782">
        <v>2111285</v>
      </c>
      <c r="K782">
        <v>35000</v>
      </c>
      <c r="L782" t="s">
        <v>137</v>
      </c>
      <c r="M782" t="s">
        <v>161</v>
      </c>
      <c r="N782" t="s">
        <v>156</v>
      </c>
    </row>
    <row r="783" spans="1:14" x14ac:dyDescent="0.25">
      <c r="A783" t="s">
        <v>1268</v>
      </c>
      <c r="B783" t="s">
        <v>167</v>
      </c>
      <c r="C783" t="s">
        <v>168</v>
      </c>
      <c r="D783">
        <v>46040</v>
      </c>
      <c r="E783" t="s">
        <v>31</v>
      </c>
      <c r="F783" t="s">
        <v>1346</v>
      </c>
      <c r="G783" t="s">
        <v>177</v>
      </c>
      <c r="H783" t="s">
        <v>25</v>
      </c>
      <c r="I783">
        <v>1</v>
      </c>
      <c r="J783">
        <v>2123570</v>
      </c>
      <c r="K783">
        <v>50000</v>
      </c>
      <c r="L783" t="s">
        <v>137</v>
      </c>
      <c r="M783" t="s">
        <v>161</v>
      </c>
      <c r="N783" t="s">
        <v>139</v>
      </c>
    </row>
    <row r="784" spans="1:14" x14ac:dyDescent="0.25">
      <c r="A784" t="s">
        <v>1269</v>
      </c>
      <c r="B784" t="s">
        <v>489</v>
      </c>
      <c r="C784" t="s">
        <v>452</v>
      </c>
      <c r="D784">
        <v>46133</v>
      </c>
      <c r="E784" t="s">
        <v>102</v>
      </c>
      <c r="F784" t="s">
        <v>28</v>
      </c>
      <c r="G784" t="s">
        <v>39</v>
      </c>
      <c r="H784" t="s">
        <v>35</v>
      </c>
      <c r="I784">
        <v>7</v>
      </c>
      <c r="J784">
        <v>299972</v>
      </c>
      <c r="K784">
        <v>25000</v>
      </c>
      <c r="L784" t="s">
        <v>137</v>
      </c>
      <c r="M784" t="s">
        <v>161</v>
      </c>
      <c r="N784" t="s">
        <v>156</v>
      </c>
    </row>
    <row r="785" spans="1:14" x14ac:dyDescent="0.25">
      <c r="A785" t="s">
        <v>1270</v>
      </c>
      <c r="B785" t="s">
        <v>1271</v>
      </c>
      <c r="C785" t="s">
        <v>317</v>
      </c>
      <c r="D785">
        <v>46055</v>
      </c>
      <c r="E785" t="s">
        <v>18</v>
      </c>
      <c r="F785" t="s">
        <v>143</v>
      </c>
      <c r="G785" t="s">
        <v>147</v>
      </c>
      <c r="H785" t="s">
        <v>35</v>
      </c>
      <c r="I785">
        <v>7</v>
      </c>
      <c r="J785">
        <v>2130605</v>
      </c>
      <c r="K785">
        <v>50000</v>
      </c>
      <c r="L785" t="s">
        <v>137</v>
      </c>
      <c r="M785" t="s">
        <v>138</v>
      </c>
      <c r="N785" t="s">
        <v>139</v>
      </c>
    </row>
    <row r="786" spans="1:14" x14ac:dyDescent="0.25">
      <c r="A786" t="s">
        <v>1272</v>
      </c>
      <c r="B786" t="s">
        <v>308</v>
      </c>
      <c r="C786" t="s">
        <v>22</v>
      </c>
      <c r="D786">
        <v>46042</v>
      </c>
      <c r="E786" t="s">
        <v>18</v>
      </c>
      <c r="F786" t="s">
        <v>160</v>
      </c>
      <c r="G786" t="s">
        <v>136</v>
      </c>
      <c r="H786" t="s">
        <v>25</v>
      </c>
      <c r="I786">
        <v>1</v>
      </c>
      <c r="J786">
        <v>1935049</v>
      </c>
      <c r="K786">
        <v>50000</v>
      </c>
      <c r="L786" t="s">
        <v>137</v>
      </c>
      <c r="M786" t="s">
        <v>138</v>
      </c>
      <c r="N786" t="s">
        <v>139</v>
      </c>
    </row>
    <row r="787" spans="1:14" x14ac:dyDescent="0.25">
      <c r="A787" t="s">
        <v>1273</v>
      </c>
      <c r="B787" t="s">
        <v>151</v>
      </c>
      <c r="C787" t="s">
        <v>152</v>
      </c>
      <c r="D787">
        <v>46141</v>
      </c>
      <c r="E787" t="s">
        <v>34</v>
      </c>
      <c r="F787" t="s">
        <v>28</v>
      </c>
      <c r="G787" t="s">
        <v>1360</v>
      </c>
      <c r="H787" t="s">
        <v>32</v>
      </c>
      <c r="I787">
        <v>7</v>
      </c>
      <c r="J787">
        <v>1552281</v>
      </c>
      <c r="K787">
        <v>25000</v>
      </c>
      <c r="L787" t="s">
        <v>137</v>
      </c>
      <c r="M787" t="s">
        <v>161</v>
      </c>
      <c r="N787" t="s">
        <v>139</v>
      </c>
    </row>
    <row r="788" spans="1:14" x14ac:dyDescent="0.25">
      <c r="A788" t="s">
        <v>1274</v>
      </c>
      <c r="B788" t="s">
        <v>925</v>
      </c>
      <c r="C788" t="s">
        <v>258</v>
      </c>
      <c r="D788">
        <v>46199</v>
      </c>
      <c r="E788" t="s">
        <v>31</v>
      </c>
      <c r="F788" t="s">
        <v>1346</v>
      </c>
      <c r="G788" t="s">
        <v>173</v>
      </c>
      <c r="H788" t="s">
        <v>32</v>
      </c>
      <c r="I788">
        <v>5</v>
      </c>
      <c r="J788">
        <v>2469597</v>
      </c>
      <c r="K788">
        <v>50000</v>
      </c>
      <c r="L788" t="s">
        <v>137</v>
      </c>
      <c r="M788" t="s">
        <v>138</v>
      </c>
      <c r="N788" t="s">
        <v>139</v>
      </c>
    </row>
    <row r="789" spans="1:14" x14ac:dyDescent="0.25">
      <c r="A789" t="s">
        <v>1275</v>
      </c>
      <c r="B789" t="s">
        <v>245</v>
      </c>
      <c r="C789" t="s">
        <v>246</v>
      </c>
      <c r="D789">
        <v>46155</v>
      </c>
      <c r="E789" t="s">
        <v>34</v>
      </c>
      <c r="F789" t="s">
        <v>143</v>
      </c>
      <c r="G789" t="s">
        <v>136</v>
      </c>
      <c r="H789" t="s">
        <v>25</v>
      </c>
      <c r="I789">
        <v>6</v>
      </c>
      <c r="J789">
        <v>383965</v>
      </c>
      <c r="K789">
        <v>25000</v>
      </c>
      <c r="L789" t="s">
        <v>137</v>
      </c>
      <c r="M789" t="s">
        <v>161</v>
      </c>
      <c r="N789" t="s">
        <v>156</v>
      </c>
    </row>
    <row r="790" spans="1:14" x14ac:dyDescent="0.25">
      <c r="A790" t="s">
        <v>1276</v>
      </c>
      <c r="B790" t="s">
        <v>857</v>
      </c>
      <c r="C790" t="s">
        <v>301</v>
      </c>
      <c r="D790">
        <v>46071</v>
      </c>
      <c r="E790" t="s">
        <v>34</v>
      </c>
      <c r="F790" t="s">
        <v>28</v>
      </c>
      <c r="G790" t="s">
        <v>169</v>
      </c>
      <c r="H790" t="s">
        <v>29</v>
      </c>
      <c r="I790">
        <v>2</v>
      </c>
      <c r="J790">
        <v>1581770</v>
      </c>
      <c r="K790">
        <v>25000</v>
      </c>
      <c r="L790" t="s">
        <v>148</v>
      </c>
      <c r="M790" t="s">
        <v>165</v>
      </c>
      <c r="N790" t="s">
        <v>156</v>
      </c>
    </row>
    <row r="791" spans="1:14" x14ac:dyDescent="0.25">
      <c r="A791" t="s">
        <v>1277</v>
      </c>
      <c r="B791" t="s">
        <v>746</v>
      </c>
      <c r="C791" t="s">
        <v>192</v>
      </c>
      <c r="D791">
        <v>46199</v>
      </c>
      <c r="E791" t="s">
        <v>27</v>
      </c>
      <c r="F791" t="s">
        <v>1346</v>
      </c>
      <c r="G791" t="s">
        <v>177</v>
      </c>
      <c r="H791" t="s">
        <v>32</v>
      </c>
      <c r="I791">
        <v>6</v>
      </c>
      <c r="J791">
        <v>1357383</v>
      </c>
      <c r="K791">
        <v>15000</v>
      </c>
      <c r="L791" t="s">
        <v>137</v>
      </c>
      <c r="M791" t="s">
        <v>138</v>
      </c>
      <c r="N791" t="s">
        <v>156</v>
      </c>
    </row>
    <row r="792" spans="1:14" x14ac:dyDescent="0.25">
      <c r="A792" t="s">
        <v>1278</v>
      </c>
      <c r="B792" t="s">
        <v>235</v>
      </c>
      <c r="C792" t="s">
        <v>142</v>
      </c>
      <c r="D792">
        <v>46097</v>
      </c>
      <c r="E792" t="s">
        <v>31</v>
      </c>
      <c r="F792" t="s">
        <v>1346</v>
      </c>
      <c r="G792" t="s">
        <v>177</v>
      </c>
      <c r="H792" t="s">
        <v>32</v>
      </c>
      <c r="I792">
        <v>5</v>
      </c>
      <c r="J792">
        <v>1156106</v>
      </c>
      <c r="K792">
        <v>15000</v>
      </c>
      <c r="L792" t="s">
        <v>148</v>
      </c>
      <c r="M792" t="s">
        <v>138</v>
      </c>
      <c r="N792" t="s">
        <v>139</v>
      </c>
    </row>
    <row r="793" spans="1:14" x14ac:dyDescent="0.25">
      <c r="A793" t="s">
        <v>1279</v>
      </c>
      <c r="B793" t="s">
        <v>344</v>
      </c>
      <c r="C793" t="s">
        <v>345</v>
      </c>
      <c r="D793">
        <v>46092</v>
      </c>
      <c r="E793" t="s">
        <v>34</v>
      </c>
      <c r="F793" t="s">
        <v>160</v>
      </c>
      <c r="G793" t="s">
        <v>39</v>
      </c>
      <c r="H793" t="s">
        <v>35</v>
      </c>
      <c r="I793">
        <v>3</v>
      </c>
      <c r="J793">
        <v>2045517</v>
      </c>
      <c r="K793">
        <v>50000</v>
      </c>
      <c r="L793" t="s">
        <v>137</v>
      </c>
      <c r="M793" t="s">
        <v>138</v>
      </c>
      <c r="N793" t="s">
        <v>139</v>
      </c>
    </row>
    <row r="794" spans="1:14" x14ac:dyDescent="0.25">
      <c r="A794" t="s">
        <v>1280</v>
      </c>
      <c r="B794" t="s">
        <v>618</v>
      </c>
      <c r="C794" t="s">
        <v>323</v>
      </c>
      <c r="D794">
        <v>46040</v>
      </c>
      <c r="E794" t="s">
        <v>27</v>
      </c>
      <c r="F794" t="s">
        <v>1346</v>
      </c>
      <c r="G794" t="s">
        <v>147</v>
      </c>
      <c r="H794" t="s">
        <v>35</v>
      </c>
      <c r="I794">
        <v>4</v>
      </c>
      <c r="J794">
        <v>912421</v>
      </c>
      <c r="K794">
        <v>25000</v>
      </c>
      <c r="L794" t="s">
        <v>137</v>
      </c>
      <c r="M794" t="s">
        <v>149</v>
      </c>
      <c r="N794" t="s">
        <v>139</v>
      </c>
    </row>
    <row r="795" spans="1:14" x14ac:dyDescent="0.25">
      <c r="A795" t="s">
        <v>1281</v>
      </c>
      <c r="B795" t="s">
        <v>800</v>
      </c>
      <c r="C795" t="s">
        <v>192</v>
      </c>
      <c r="D795">
        <v>46091</v>
      </c>
      <c r="E795" t="s">
        <v>31</v>
      </c>
      <c r="F795" t="s">
        <v>1346</v>
      </c>
      <c r="G795" t="s">
        <v>173</v>
      </c>
      <c r="H795" t="s">
        <v>29</v>
      </c>
      <c r="I795">
        <v>6</v>
      </c>
      <c r="J795">
        <v>333880</v>
      </c>
      <c r="K795">
        <v>35000</v>
      </c>
      <c r="L795" t="s">
        <v>37</v>
      </c>
      <c r="M795" t="s">
        <v>165</v>
      </c>
      <c r="N795" t="s">
        <v>156</v>
      </c>
    </row>
    <row r="796" spans="1:14" x14ac:dyDescent="0.25">
      <c r="A796" t="s">
        <v>1282</v>
      </c>
      <c r="B796" t="s">
        <v>469</v>
      </c>
      <c r="C796" t="s">
        <v>281</v>
      </c>
      <c r="D796">
        <v>46115</v>
      </c>
      <c r="E796" t="s">
        <v>27</v>
      </c>
      <c r="F796" t="s">
        <v>1346</v>
      </c>
      <c r="G796" t="s">
        <v>177</v>
      </c>
      <c r="H796" t="s">
        <v>20</v>
      </c>
      <c r="I796">
        <v>7</v>
      </c>
      <c r="J796">
        <v>348598</v>
      </c>
      <c r="K796">
        <v>0</v>
      </c>
      <c r="L796" t="s">
        <v>137</v>
      </c>
      <c r="M796" t="s">
        <v>161</v>
      </c>
      <c r="N796" t="s">
        <v>139</v>
      </c>
    </row>
    <row r="797" spans="1:14" x14ac:dyDescent="0.25">
      <c r="A797" t="s">
        <v>1283</v>
      </c>
      <c r="B797" t="s">
        <v>897</v>
      </c>
      <c r="C797" t="s">
        <v>456</v>
      </c>
      <c r="D797">
        <v>46033</v>
      </c>
      <c r="E797" t="s">
        <v>34</v>
      </c>
      <c r="F797" t="s">
        <v>1346</v>
      </c>
      <c r="G797" t="s">
        <v>39</v>
      </c>
      <c r="H797" t="s">
        <v>29</v>
      </c>
      <c r="I797">
        <v>1</v>
      </c>
      <c r="J797">
        <v>2496355</v>
      </c>
      <c r="K797">
        <v>0</v>
      </c>
      <c r="L797" t="s">
        <v>137</v>
      </c>
      <c r="M797" t="s">
        <v>149</v>
      </c>
      <c r="N797" t="s">
        <v>156</v>
      </c>
    </row>
    <row r="798" spans="1:14" x14ac:dyDescent="0.25">
      <c r="A798" t="s">
        <v>1284</v>
      </c>
      <c r="B798" t="s">
        <v>580</v>
      </c>
      <c r="C798" t="s">
        <v>33</v>
      </c>
      <c r="D798">
        <v>46181</v>
      </c>
      <c r="E798" t="s">
        <v>34</v>
      </c>
      <c r="F798" t="s">
        <v>143</v>
      </c>
      <c r="G798" t="s">
        <v>177</v>
      </c>
      <c r="H798" t="s">
        <v>32</v>
      </c>
      <c r="I798">
        <v>3</v>
      </c>
      <c r="J798">
        <v>1238770</v>
      </c>
      <c r="K798">
        <v>50000</v>
      </c>
      <c r="L798" t="s">
        <v>148</v>
      </c>
      <c r="N798" t="s">
        <v>156</v>
      </c>
    </row>
    <row r="799" spans="1:14" x14ac:dyDescent="0.25">
      <c r="A799" t="s">
        <v>1285</v>
      </c>
      <c r="B799" t="s">
        <v>179</v>
      </c>
      <c r="C799" t="s">
        <v>1414</v>
      </c>
      <c r="D799">
        <v>46180</v>
      </c>
      <c r="E799" t="s">
        <v>34</v>
      </c>
      <c r="F799" t="s">
        <v>28</v>
      </c>
      <c r="G799" t="s">
        <v>173</v>
      </c>
      <c r="H799" t="s">
        <v>20</v>
      </c>
      <c r="I799">
        <v>1</v>
      </c>
      <c r="J799">
        <v>193151</v>
      </c>
      <c r="K799">
        <v>15000</v>
      </c>
      <c r="L799" t="s">
        <v>137</v>
      </c>
      <c r="M799" t="s">
        <v>138</v>
      </c>
      <c r="N799" t="s">
        <v>156</v>
      </c>
    </row>
    <row r="800" spans="1:14" x14ac:dyDescent="0.25">
      <c r="A800" t="s">
        <v>1286</v>
      </c>
      <c r="B800" t="s">
        <v>325</v>
      </c>
      <c r="C800" t="s">
        <v>284</v>
      </c>
      <c r="D800">
        <v>46127</v>
      </c>
      <c r="E800" t="s">
        <v>18</v>
      </c>
      <c r="F800" t="s">
        <v>1346</v>
      </c>
      <c r="G800" t="s">
        <v>173</v>
      </c>
      <c r="H800" t="s">
        <v>20</v>
      </c>
      <c r="I800">
        <v>4</v>
      </c>
      <c r="J800">
        <v>1046829</v>
      </c>
      <c r="K800">
        <v>15000</v>
      </c>
      <c r="L800" t="s">
        <v>137</v>
      </c>
      <c r="M800" t="s">
        <v>165</v>
      </c>
      <c r="N800" t="s">
        <v>156</v>
      </c>
    </row>
    <row r="801" spans="1:14" x14ac:dyDescent="0.25">
      <c r="A801" t="s">
        <v>1287</v>
      </c>
      <c r="B801" t="s">
        <v>761</v>
      </c>
      <c r="C801" t="s">
        <v>762</v>
      </c>
      <c r="D801" t="s">
        <v>1415</v>
      </c>
      <c r="E801" t="s">
        <v>18</v>
      </c>
      <c r="F801" t="s">
        <v>143</v>
      </c>
      <c r="G801" t="s">
        <v>173</v>
      </c>
      <c r="H801" t="s">
        <v>20</v>
      </c>
      <c r="I801">
        <v>7</v>
      </c>
      <c r="J801">
        <v>1945332</v>
      </c>
      <c r="K801">
        <v>50000</v>
      </c>
      <c r="L801" t="s">
        <v>137</v>
      </c>
      <c r="M801" t="s">
        <v>138</v>
      </c>
      <c r="N801" t="s">
        <v>139</v>
      </c>
    </row>
    <row r="802" spans="1:14" x14ac:dyDescent="0.25">
      <c r="A802" t="s">
        <v>1288</v>
      </c>
      <c r="B802" t="s">
        <v>582</v>
      </c>
      <c r="C802" t="s">
        <v>446</v>
      </c>
      <c r="D802">
        <v>46136</v>
      </c>
      <c r="E802" t="s">
        <v>23</v>
      </c>
      <c r="F802" t="s">
        <v>1346</v>
      </c>
      <c r="G802" t="s">
        <v>177</v>
      </c>
      <c r="H802" t="s">
        <v>32</v>
      </c>
      <c r="I802">
        <v>6</v>
      </c>
      <c r="J802">
        <v>1976095</v>
      </c>
      <c r="K802">
        <v>15000</v>
      </c>
      <c r="L802" t="s">
        <v>148</v>
      </c>
      <c r="M802" t="s">
        <v>149</v>
      </c>
      <c r="N802" t="s">
        <v>139</v>
      </c>
    </row>
    <row r="803" spans="1:14" x14ac:dyDescent="0.25">
      <c r="A803" t="s">
        <v>1289</v>
      </c>
      <c r="B803" t="s">
        <v>467</v>
      </c>
      <c r="C803" t="s">
        <v>198</v>
      </c>
      <c r="D803">
        <v>46157</v>
      </c>
      <c r="E803" t="s">
        <v>31</v>
      </c>
      <c r="F803" t="s">
        <v>143</v>
      </c>
      <c r="G803" t="s">
        <v>136</v>
      </c>
      <c r="H803" t="s">
        <v>29</v>
      </c>
      <c r="I803">
        <v>1</v>
      </c>
      <c r="K803">
        <v>25000</v>
      </c>
      <c r="L803" t="s">
        <v>214</v>
      </c>
      <c r="M803" t="s">
        <v>138</v>
      </c>
      <c r="N803" t="s">
        <v>156</v>
      </c>
    </row>
    <row r="804" spans="1:14" x14ac:dyDescent="0.25">
      <c r="A804" t="s">
        <v>1290</v>
      </c>
      <c r="B804" t="s">
        <v>242</v>
      </c>
      <c r="C804" t="s">
        <v>176</v>
      </c>
      <c r="D804">
        <v>46201</v>
      </c>
      <c r="E804" t="s">
        <v>34</v>
      </c>
      <c r="F804" t="s">
        <v>28</v>
      </c>
      <c r="G804" t="s">
        <v>136</v>
      </c>
      <c r="H804" t="s">
        <v>29</v>
      </c>
      <c r="I804">
        <v>7</v>
      </c>
      <c r="J804">
        <v>1704038</v>
      </c>
      <c r="K804">
        <v>15000</v>
      </c>
      <c r="L804" t="s">
        <v>137</v>
      </c>
      <c r="M804" t="s">
        <v>161</v>
      </c>
      <c r="N804" t="s">
        <v>139</v>
      </c>
    </row>
    <row r="805" spans="1:14" x14ac:dyDescent="0.25">
      <c r="A805" t="s">
        <v>1291</v>
      </c>
      <c r="B805" t="s">
        <v>797</v>
      </c>
      <c r="C805" t="s">
        <v>240</v>
      </c>
      <c r="D805">
        <v>46082</v>
      </c>
      <c r="E805" t="s">
        <v>23</v>
      </c>
      <c r="F805" t="s">
        <v>28</v>
      </c>
      <c r="G805" t="s">
        <v>169</v>
      </c>
      <c r="H805" t="s">
        <v>88</v>
      </c>
      <c r="I805">
        <v>4</v>
      </c>
      <c r="J805">
        <v>1711503</v>
      </c>
      <c r="K805">
        <v>50000</v>
      </c>
      <c r="L805" t="s">
        <v>37</v>
      </c>
      <c r="M805" t="s">
        <v>165</v>
      </c>
      <c r="N805" t="s">
        <v>139</v>
      </c>
    </row>
    <row r="806" spans="1:14" x14ac:dyDescent="0.25">
      <c r="A806" t="s">
        <v>1292</v>
      </c>
      <c r="B806" t="s">
        <v>705</v>
      </c>
      <c r="C806" t="s">
        <v>502</v>
      </c>
      <c r="D806">
        <v>46111</v>
      </c>
      <c r="E806" t="s">
        <v>31</v>
      </c>
      <c r="F806" t="s">
        <v>160</v>
      </c>
      <c r="G806" t="s">
        <v>39</v>
      </c>
      <c r="H806" t="s">
        <v>25</v>
      </c>
      <c r="I806">
        <v>1</v>
      </c>
      <c r="J806">
        <v>1627938</v>
      </c>
      <c r="K806">
        <v>35000</v>
      </c>
      <c r="L806" t="s">
        <v>137</v>
      </c>
      <c r="M806" t="s">
        <v>138</v>
      </c>
      <c r="N806" t="s">
        <v>139</v>
      </c>
    </row>
    <row r="807" spans="1:14" x14ac:dyDescent="0.25">
      <c r="A807" t="s">
        <v>1293</v>
      </c>
      <c r="B807" t="s">
        <v>720</v>
      </c>
      <c r="C807" t="s">
        <v>33</v>
      </c>
      <c r="D807">
        <v>46091</v>
      </c>
      <c r="E807" t="s">
        <v>27</v>
      </c>
      <c r="F807" t="s">
        <v>143</v>
      </c>
      <c r="G807" t="s">
        <v>173</v>
      </c>
      <c r="H807" t="s">
        <v>32</v>
      </c>
      <c r="I807">
        <v>4</v>
      </c>
      <c r="J807">
        <v>1657609</v>
      </c>
      <c r="K807">
        <v>25000</v>
      </c>
      <c r="L807" t="s">
        <v>137</v>
      </c>
      <c r="M807" t="s">
        <v>161</v>
      </c>
      <c r="N807" t="s">
        <v>139</v>
      </c>
    </row>
    <row r="808" spans="1:14" x14ac:dyDescent="0.25">
      <c r="A808" t="s">
        <v>1294</v>
      </c>
      <c r="B808" t="s">
        <v>1193</v>
      </c>
      <c r="C808" t="s">
        <v>172</v>
      </c>
      <c r="D808">
        <v>46081</v>
      </c>
      <c r="E808" t="s">
        <v>34</v>
      </c>
      <c r="F808" t="s">
        <v>160</v>
      </c>
      <c r="G808" t="s">
        <v>147</v>
      </c>
      <c r="H808" t="s">
        <v>25</v>
      </c>
      <c r="I808">
        <v>1</v>
      </c>
      <c r="J808">
        <v>497372</v>
      </c>
      <c r="K808">
        <v>15000</v>
      </c>
      <c r="L808" t="s">
        <v>137</v>
      </c>
      <c r="M808" t="s">
        <v>138</v>
      </c>
      <c r="N808" t="s">
        <v>139</v>
      </c>
    </row>
    <row r="809" spans="1:14" x14ac:dyDescent="0.25">
      <c r="A809" t="s">
        <v>1295</v>
      </c>
      <c r="B809" t="s">
        <v>1296</v>
      </c>
      <c r="C809" t="s">
        <v>223</v>
      </c>
      <c r="D809">
        <v>46098</v>
      </c>
      <c r="E809" t="s">
        <v>18</v>
      </c>
      <c r="F809" t="s">
        <v>160</v>
      </c>
      <c r="G809" t="s">
        <v>177</v>
      </c>
      <c r="H809" t="s">
        <v>20</v>
      </c>
      <c r="I809">
        <v>3</v>
      </c>
      <c r="J809">
        <v>714056</v>
      </c>
      <c r="K809">
        <v>35000</v>
      </c>
      <c r="L809" t="s">
        <v>148</v>
      </c>
      <c r="M809" t="s">
        <v>165</v>
      </c>
      <c r="N809" t="s">
        <v>156</v>
      </c>
    </row>
    <row r="810" spans="1:14" x14ac:dyDescent="0.25">
      <c r="A810" t="s">
        <v>1297</v>
      </c>
      <c r="B810" t="s">
        <v>705</v>
      </c>
      <c r="C810" t="s">
        <v>502</v>
      </c>
      <c r="D810">
        <v>46190</v>
      </c>
      <c r="E810" t="s">
        <v>18</v>
      </c>
      <c r="F810" t="s">
        <v>143</v>
      </c>
      <c r="G810" t="s">
        <v>173</v>
      </c>
      <c r="H810" t="s">
        <v>29</v>
      </c>
      <c r="I810">
        <v>5</v>
      </c>
      <c r="J810">
        <v>857962</v>
      </c>
      <c r="K810">
        <v>25000</v>
      </c>
      <c r="L810" t="s">
        <v>137</v>
      </c>
      <c r="M810" t="s">
        <v>138</v>
      </c>
      <c r="N810" t="s">
        <v>156</v>
      </c>
    </row>
    <row r="811" spans="1:14" x14ac:dyDescent="0.25">
      <c r="A811" t="s">
        <v>1298</v>
      </c>
      <c r="B811" t="s">
        <v>313</v>
      </c>
      <c r="C811" t="s">
        <v>314</v>
      </c>
      <c r="D811">
        <v>46048</v>
      </c>
      <c r="E811" t="s">
        <v>34</v>
      </c>
      <c r="F811" t="s">
        <v>143</v>
      </c>
      <c r="G811" t="s">
        <v>1378</v>
      </c>
      <c r="H811" t="s">
        <v>35</v>
      </c>
      <c r="I811">
        <v>5</v>
      </c>
      <c r="J811">
        <v>1248452</v>
      </c>
      <c r="K811">
        <v>15000</v>
      </c>
      <c r="L811" t="s">
        <v>137</v>
      </c>
      <c r="M811" t="s">
        <v>138</v>
      </c>
      <c r="N811" t="s">
        <v>156</v>
      </c>
    </row>
    <row r="812" spans="1:14" x14ac:dyDescent="0.25">
      <c r="A812" t="s">
        <v>1299</v>
      </c>
      <c r="B812" t="s">
        <v>736</v>
      </c>
      <c r="C812" t="s">
        <v>195</v>
      </c>
      <c r="D812">
        <v>46025</v>
      </c>
      <c r="E812" t="s">
        <v>27</v>
      </c>
      <c r="F812" t="s">
        <v>160</v>
      </c>
      <c r="G812" t="s">
        <v>39</v>
      </c>
      <c r="H812" t="s">
        <v>29</v>
      </c>
      <c r="I812">
        <v>7</v>
      </c>
      <c r="J812">
        <v>1485153</v>
      </c>
      <c r="K812">
        <v>15000</v>
      </c>
      <c r="L812" t="s">
        <v>137</v>
      </c>
      <c r="M812" t="s">
        <v>165</v>
      </c>
      <c r="N812" t="s">
        <v>156</v>
      </c>
    </row>
    <row r="813" spans="1:14" x14ac:dyDescent="0.25">
      <c r="A813" t="s">
        <v>1300</v>
      </c>
      <c r="B813" t="s">
        <v>1193</v>
      </c>
      <c r="C813" t="s">
        <v>172</v>
      </c>
      <c r="D813">
        <v>46143</v>
      </c>
      <c r="E813" t="s">
        <v>34</v>
      </c>
      <c r="F813" t="s">
        <v>28</v>
      </c>
      <c r="G813" t="s">
        <v>177</v>
      </c>
      <c r="H813" t="s">
        <v>32</v>
      </c>
      <c r="I813">
        <v>2</v>
      </c>
      <c r="J813">
        <v>773931</v>
      </c>
      <c r="K813">
        <v>15000</v>
      </c>
      <c r="L813" t="s">
        <v>148</v>
      </c>
      <c r="M813" t="s">
        <v>165</v>
      </c>
      <c r="N813" t="s">
        <v>156</v>
      </c>
    </row>
    <row r="814" spans="1:14" x14ac:dyDescent="0.25">
      <c r="A814" t="s">
        <v>1301</v>
      </c>
      <c r="B814" t="s">
        <v>743</v>
      </c>
      <c r="C814" t="s">
        <v>164</v>
      </c>
      <c r="D814">
        <v>46051</v>
      </c>
      <c r="E814" t="s">
        <v>31</v>
      </c>
      <c r="F814" t="s">
        <v>143</v>
      </c>
      <c r="G814" t="s">
        <v>173</v>
      </c>
      <c r="H814" t="s">
        <v>25</v>
      </c>
      <c r="I814">
        <v>6</v>
      </c>
      <c r="J814">
        <v>1161088</v>
      </c>
      <c r="K814">
        <v>15000</v>
      </c>
      <c r="L814" t="s">
        <v>137</v>
      </c>
      <c r="M814" t="s">
        <v>161</v>
      </c>
      <c r="N814" t="s">
        <v>139</v>
      </c>
    </row>
    <row r="815" spans="1:14" x14ac:dyDescent="0.25">
      <c r="A815" t="s">
        <v>1302</v>
      </c>
      <c r="B815" t="s">
        <v>640</v>
      </c>
      <c r="C815" t="s">
        <v>198</v>
      </c>
      <c r="D815">
        <v>46148</v>
      </c>
      <c r="E815" t="s">
        <v>31</v>
      </c>
      <c r="F815" t="s">
        <v>1374</v>
      </c>
      <c r="G815" t="s">
        <v>147</v>
      </c>
      <c r="H815" t="s">
        <v>35</v>
      </c>
      <c r="I815">
        <v>5</v>
      </c>
      <c r="J815">
        <v>1776821</v>
      </c>
      <c r="K815">
        <v>50000</v>
      </c>
      <c r="L815" t="s">
        <v>137</v>
      </c>
      <c r="M815" t="s">
        <v>165</v>
      </c>
      <c r="N815" t="s">
        <v>139</v>
      </c>
    </row>
    <row r="816" spans="1:14" x14ac:dyDescent="0.25">
      <c r="A816" t="s">
        <v>1303</v>
      </c>
      <c r="B816" t="s">
        <v>605</v>
      </c>
      <c r="C816" t="s">
        <v>314</v>
      </c>
      <c r="D816">
        <v>46087</v>
      </c>
      <c r="E816" t="s">
        <v>23</v>
      </c>
      <c r="F816" t="s">
        <v>143</v>
      </c>
      <c r="G816" t="s">
        <v>173</v>
      </c>
      <c r="H816" t="s">
        <v>35</v>
      </c>
      <c r="I816">
        <v>2</v>
      </c>
      <c r="J816">
        <v>2315594</v>
      </c>
      <c r="K816">
        <v>35000</v>
      </c>
      <c r="L816" t="s">
        <v>137</v>
      </c>
      <c r="M816" t="s">
        <v>138</v>
      </c>
      <c r="N816" t="s">
        <v>139</v>
      </c>
    </row>
    <row r="817" spans="1:14" x14ac:dyDescent="0.25">
      <c r="A817" t="s">
        <v>1304</v>
      </c>
      <c r="B817" t="s">
        <v>455</v>
      </c>
      <c r="C817" t="s">
        <v>456</v>
      </c>
      <c r="D817">
        <v>46099</v>
      </c>
      <c r="E817" t="s">
        <v>23</v>
      </c>
      <c r="F817" t="s">
        <v>1346</v>
      </c>
      <c r="G817" t="s">
        <v>39</v>
      </c>
      <c r="H817" t="s">
        <v>29</v>
      </c>
      <c r="I817">
        <v>4</v>
      </c>
      <c r="J817">
        <v>604593</v>
      </c>
      <c r="K817">
        <v>50000</v>
      </c>
      <c r="L817" t="s">
        <v>137</v>
      </c>
      <c r="M817" t="s">
        <v>161</v>
      </c>
      <c r="N817" t="s">
        <v>156</v>
      </c>
    </row>
    <row r="818" spans="1:14" x14ac:dyDescent="0.25">
      <c r="A818" t="s">
        <v>1305</v>
      </c>
      <c r="B818" t="s">
        <v>248</v>
      </c>
      <c r="C818" t="s">
        <v>226</v>
      </c>
      <c r="D818">
        <v>46134</v>
      </c>
      <c r="E818" t="s">
        <v>87</v>
      </c>
      <c r="F818" t="s">
        <v>1346</v>
      </c>
      <c r="G818" t="s">
        <v>39</v>
      </c>
      <c r="H818" t="s">
        <v>29</v>
      </c>
      <c r="I818">
        <v>7</v>
      </c>
      <c r="J818">
        <v>737276</v>
      </c>
      <c r="K818">
        <v>35000</v>
      </c>
      <c r="L818" t="s">
        <v>137</v>
      </c>
      <c r="M818" t="s">
        <v>138</v>
      </c>
      <c r="N818" t="s">
        <v>156</v>
      </c>
    </row>
    <row r="819" spans="1:14" x14ac:dyDescent="0.25">
      <c r="A819" t="s">
        <v>1306</v>
      </c>
      <c r="B819" t="s">
        <v>494</v>
      </c>
      <c r="C819" t="s">
        <v>495</v>
      </c>
      <c r="D819">
        <v>46081</v>
      </c>
      <c r="E819" t="s">
        <v>34</v>
      </c>
      <c r="F819" t="s">
        <v>143</v>
      </c>
      <c r="G819" t="s">
        <v>39</v>
      </c>
      <c r="H819" t="s">
        <v>29</v>
      </c>
      <c r="I819">
        <v>4</v>
      </c>
      <c r="J819" t="s">
        <v>1307</v>
      </c>
      <c r="K819">
        <v>25000</v>
      </c>
      <c r="L819" t="s">
        <v>137</v>
      </c>
      <c r="M819" t="s">
        <v>138</v>
      </c>
      <c r="N819" t="s">
        <v>139</v>
      </c>
    </row>
    <row r="820" spans="1:14" x14ac:dyDescent="0.25">
      <c r="A820" t="s">
        <v>1308</v>
      </c>
      <c r="B820" t="s">
        <v>368</v>
      </c>
      <c r="C820" t="s">
        <v>36</v>
      </c>
      <c r="D820">
        <v>46085</v>
      </c>
      <c r="E820" t="s">
        <v>31</v>
      </c>
      <c r="F820" t="s">
        <v>28</v>
      </c>
      <c r="G820" t="s">
        <v>173</v>
      </c>
      <c r="H820" t="s">
        <v>35</v>
      </c>
      <c r="I820">
        <v>3</v>
      </c>
      <c r="J820">
        <v>730428</v>
      </c>
      <c r="K820">
        <v>0</v>
      </c>
      <c r="L820" t="s">
        <v>137</v>
      </c>
      <c r="M820" t="s">
        <v>138</v>
      </c>
      <c r="N820" t="s">
        <v>139</v>
      </c>
    </row>
    <row r="821" spans="1:14" x14ac:dyDescent="0.25">
      <c r="A821" t="s">
        <v>1309</v>
      </c>
      <c r="B821" t="s">
        <v>678</v>
      </c>
      <c r="C821" t="s">
        <v>679</v>
      </c>
      <c r="D821">
        <v>46154</v>
      </c>
      <c r="E821" t="s">
        <v>31</v>
      </c>
      <c r="F821" t="s">
        <v>160</v>
      </c>
      <c r="G821" t="s">
        <v>136</v>
      </c>
      <c r="H821" t="s">
        <v>25</v>
      </c>
      <c r="I821">
        <v>1</v>
      </c>
      <c r="J821">
        <v>2433606</v>
      </c>
      <c r="K821">
        <v>35000</v>
      </c>
      <c r="L821" t="s">
        <v>43</v>
      </c>
      <c r="M821" t="s">
        <v>165</v>
      </c>
      <c r="N821" t="s">
        <v>156</v>
      </c>
    </row>
    <row r="822" spans="1:14" x14ac:dyDescent="0.25">
      <c r="A822" t="s">
        <v>1310</v>
      </c>
      <c r="B822" t="s">
        <v>296</v>
      </c>
      <c r="C822" t="s">
        <v>297</v>
      </c>
      <c r="D822">
        <v>46152</v>
      </c>
      <c r="E822" t="s">
        <v>34</v>
      </c>
      <c r="F822" t="s">
        <v>160</v>
      </c>
      <c r="G822" t="s">
        <v>173</v>
      </c>
      <c r="H822" t="s">
        <v>35</v>
      </c>
      <c r="I822">
        <v>1</v>
      </c>
      <c r="J822">
        <v>816025</v>
      </c>
      <c r="K822">
        <v>0</v>
      </c>
      <c r="L822" t="s">
        <v>137</v>
      </c>
      <c r="M822" t="s">
        <v>138</v>
      </c>
      <c r="N822" t="s">
        <v>156</v>
      </c>
    </row>
    <row r="823" spans="1:14" x14ac:dyDescent="0.25">
      <c r="A823" t="s">
        <v>1311</v>
      </c>
      <c r="B823" t="s">
        <v>434</v>
      </c>
      <c r="C823" t="s">
        <v>1371</v>
      </c>
      <c r="D823">
        <v>46156</v>
      </c>
      <c r="E823" t="s">
        <v>31</v>
      </c>
      <c r="F823" t="s">
        <v>1346</v>
      </c>
      <c r="G823" t="s">
        <v>147</v>
      </c>
      <c r="H823" t="s">
        <v>25</v>
      </c>
      <c r="I823">
        <v>4</v>
      </c>
      <c r="J823">
        <v>1677204</v>
      </c>
      <c r="K823">
        <v>0</v>
      </c>
      <c r="L823" t="s">
        <v>137</v>
      </c>
      <c r="M823" t="s">
        <v>165</v>
      </c>
      <c r="N823" t="s">
        <v>139</v>
      </c>
    </row>
    <row r="824" spans="1:14" x14ac:dyDescent="0.25">
      <c r="A824" t="s">
        <v>1312</v>
      </c>
      <c r="B824" t="s">
        <v>569</v>
      </c>
      <c r="C824" t="s">
        <v>526</v>
      </c>
      <c r="D824">
        <v>46036</v>
      </c>
      <c r="E824" t="s">
        <v>27</v>
      </c>
      <c r="F824" t="s">
        <v>160</v>
      </c>
      <c r="G824" t="s">
        <v>169</v>
      </c>
      <c r="H824" t="s">
        <v>35</v>
      </c>
      <c r="I824">
        <v>1</v>
      </c>
      <c r="J824">
        <v>2288444</v>
      </c>
      <c r="K824">
        <v>50000</v>
      </c>
      <c r="L824" t="s">
        <v>148</v>
      </c>
      <c r="M824" t="s">
        <v>165</v>
      </c>
      <c r="N824" t="s">
        <v>156</v>
      </c>
    </row>
    <row r="825" spans="1:14" x14ac:dyDescent="0.25">
      <c r="A825" t="s">
        <v>1313</v>
      </c>
      <c r="B825" t="s">
        <v>681</v>
      </c>
      <c r="C825" t="s">
        <v>317</v>
      </c>
      <c r="D825">
        <v>46119</v>
      </c>
      <c r="E825" t="s">
        <v>18</v>
      </c>
      <c r="F825" t="s">
        <v>143</v>
      </c>
      <c r="G825" t="s">
        <v>173</v>
      </c>
      <c r="H825" t="s">
        <v>35</v>
      </c>
      <c r="I825">
        <v>6</v>
      </c>
      <c r="J825">
        <v>1504758</v>
      </c>
      <c r="K825">
        <v>35000</v>
      </c>
      <c r="L825" t="s">
        <v>137</v>
      </c>
      <c r="M825" t="s">
        <v>161</v>
      </c>
      <c r="N825" t="s">
        <v>139</v>
      </c>
    </row>
    <row r="826" spans="1:14" x14ac:dyDescent="0.25">
      <c r="A826" t="s">
        <v>1314</v>
      </c>
      <c r="B826" t="s">
        <v>182</v>
      </c>
      <c r="C826" t="s">
        <v>183</v>
      </c>
      <c r="D826">
        <v>46123</v>
      </c>
      <c r="E826" t="s">
        <v>18</v>
      </c>
      <c r="F826" t="s">
        <v>28</v>
      </c>
      <c r="G826" t="s">
        <v>147</v>
      </c>
      <c r="H826" t="s">
        <v>29</v>
      </c>
      <c r="I826">
        <v>1</v>
      </c>
      <c r="J826">
        <v>1043743</v>
      </c>
      <c r="K826">
        <v>0</v>
      </c>
      <c r="L826" t="s">
        <v>137</v>
      </c>
      <c r="M826" t="s">
        <v>149</v>
      </c>
      <c r="N826" t="s">
        <v>139</v>
      </c>
    </row>
    <row r="827" spans="1:14" x14ac:dyDescent="0.25">
      <c r="A827" t="s">
        <v>234</v>
      </c>
      <c r="B827" t="s">
        <v>235</v>
      </c>
      <c r="C827" t="s">
        <v>142</v>
      </c>
      <c r="D827">
        <v>46093</v>
      </c>
      <c r="E827" t="s">
        <v>27</v>
      </c>
      <c r="F827" t="s">
        <v>28</v>
      </c>
      <c r="G827" t="s">
        <v>1347</v>
      </c>
      <c r="H827" t="s">
        <v>32</v>
      </c>
      <c r="I827">
        <v>5</v>
      </c>
      <c r="J827">
        <v>2188002</v>
      </c>
      <c r="K827">
        <v>0</v>
      </c>
      <c r="L827" t="s">
        <v>137</v>
      </c>
      <c r="M827" t="s">
        <v>138</v>
      </c>
      <c r="N827" t="s">
        <v>156</v>
      </c>
    </row>
    <row r="828" spans="1:14" x14ac:dyDescent="0.25">
      <c r="A828" t="s">
        <v>573</v>
      </c>
      <c r="B828" t="s">
        <v>455</v>
      </c>
      <c r="C828" t="s">
        <v>456</v>
      </c>
      <c r="D828">
        <v>46064</v>
      </c>
      <c r="E828" t="s">
        <v>27</v>
      </c>
      <c r="F828" t="s">
        <v>101</v>
      </c>
      <c r="G828" t="s">
        <v>177</v>
      </c>
      <c r="H828" t="s">
        <v>20</v>
      </c>
      <c r="I828">
        <v>5</v>
      </c>
      <c r="J828">
        <v>835502</v>
      </c>
      <c r="K828">
        <v>0</v>
      </c>
      <c r="L828" t="s">
        <v>137</v>
      </c>
      <c r="M828" t="s">
        <v>161</v>
      </c>
      <c r="N828" t="s">
        <v>156</v>
      </c>
    </row>
    <row r="829" spans="1:14" x14ac:dyDescent="0.25">
      <c r="A829" t="s">
        <v>825</v>
      </c>
      <c r="B829" t="s">
        <v>134</v>
      </c>
      <c r="C829" t="s">
        <v>135</v>
      </c>
      <c r="D829">
        <v>46163</v>
      </c>
      <c r="E829" t="s">
        <v>31</v>
      </c>
      <c r="F829" t="s">
        <v>1346</v>
      </c>
      <c r="G829" t="s">
        <v>173</v>
      </c>
      <c r="H829" t="s">
        <v>32</v>
      </c>
      <c r="I829">
        <v>4</v>
      </c>
      <c r="J829">
        <v>472601</v>
      </c>
      <c r="K829">
        <v>25000</v>
      </c>
      <c r="L829" t="s">
        <v>137</v>
      </c>
      <c r="M829" t="s">
        <v>138</v>
      </c>
      <c r="N829" t="s">
        <v>139</v>
      </c>
    </row>
    <row r="830" spans="1:14" x14ac:dyDescent="0.25">
      <c r="A830" t="s">
        <v>1019</v>
      </c>
      <c r="B830" t="s">
        <v>289</v>
      </c>
      <c r="C830" t="s">
        <v>146</v>
      </c>
      <c r="D830">
        <v>46134</v>
      </c>
      <c r="E830" t="s">
        <v>31</v>
      </c>
      <c r="F830" t="s">
        <v>143</v>
      </c>
      <c r="G830" t="s">
        <v>169</v>
      </c>
      <c r="H830" t="s">
        <v>25</v>
      </c>
      <c r="I830">
        <v>3</v>
      </c>
      <c r="J830">
        <v>1272539</v>
      </c>
      <c r="K830">
        <v>15000</v>
      </c>
      <c r="L830" t="s">
        <v>137</v>
      </c>
      <c r="M830" t="s">
        <v>161</v>
      </c>
      <c r="N830" t="s">
        <v>139</v>
      </c>
    </row>
    <row r="831" spans="1:14" x14ac:dyDescent="0.25">
      <c r="A831" t="s">
        <v>1194</v>
      </c>
      <c r="B831" t="s">
        <v>311</v>
      </c>
      <c r="C831" t="s">
        <v>272</v>
      </c>
      <c r="D831">
        <v>46196</v>
      </c>
      <c r="E831" t="s">
        <v>18</v>
      </c>
      <c r="F831" t="s">
        <v>1346</v>
      </c>
      <c r="G831" t="s">
        <v>177</v>
      </c>
      <c r="H831" t="s">
        <v>35</v>
      </c>
      <c r="I831">
        <v>2</v>
      </c>
      <c r="J831">
        <v>376969</v>
      </c>
      <c r="K831">
        <v>35000</v>
      </c>
      <c r="L831" t="s">
        <v>137</v>
      </c>
      <c r="M831" t="s">
        <v>161</v>
      </c>
      <c r="N831" t="s">
        <v>156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328A-DADA-4748-A2F4-833AA19DCD0C}">
  <dimension ref="A1:Q831"/>
  <sheetViews>
    <sheetView workbookViewId="0">
      <selection activeCell="A3" sqref="A3:H3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7.7109375" bestFit="1" customWidth="1"/>
    <col min="4" max="4" width="13" bestFit="1" customWidth="1"/>
    <col min="5" max="5" width="15" bestFit="1" customWidth="1"/>
    <col min="6" max="6" width="9.42578125" bestFit="1" customWidth="1"/>
    <col min="7" max="7" width="17.28515625" bestFit="1" customWidth="1"/>
    <col min="8" max="8" width="20.42578125" bestFit="1" customWidth="1"/>
    <col min="9" max="9" width="21.28515625" bestFit="1" customWidth="1"/>
    <col min="10" max="10" width="18.5703125" bestFit="1" customWidth="1"/>
    <col min="11" max="11" width="18" bestFit="1" customWidth="1"/>
    <col min="12" max="12" width="14" bestFit="1" customWidth="1"/>
    <col min="13" max="13" width="14.7109375" bestFit="1" customWidth="1"/>
    <col min="14" max="14" width="16.7109375" bestFit="1" customWidth="1"/>
    <col min="15" max="15" width="14.7109375" bestFit="1" customWidth="1"/>
    <col min="16" max="16" width="14.140625" bestFit="1" customWidth="1"/>
    <col min="17" max="17" width="42.42578125" bestFit="1" customWidth="1"/>
  </cols>
  <sheetData>
    <row r="1" spans="1:17" x14ac:dyDescent="0.25">
      <c r="A1" s="22" t="s">
        <v>1345</v>
      </c>
      <c r="B1" s="22"/>
      <c r="C1" s="22"/>
      <c r="D1" s="22"/>
      <c r="E1" s="22"/>
      <c r="F1" s="22"/>
      <c r="G1" s="22"/>
      <c r="H1" s="22"/>
    </row>
    <row r="2" spans="1:17" x14ac:dyDescent="0.25">
      <c r="A2" s="22"/>
      <c r="B2" s="22"/>
      <c r="C2" s="22"/>
      <c r="D2" s="22"/>
      <c r="E2" s="22"/>
      <c r="F2" s="22"/>
      <c r="G2" s="22"/>
      <c r="H2" s="22"/>
    </row>
    <row r="3" spans="1:17" x14ac:dyDescent="0.25">
      <c r="A3" s="41" t="s">
        <v>1340</v>
      </c>
      <c r="B3" s="23"/>
      <c r="C3" s="23"/>
      <c r="D3" s="23"/>
      <c r="E3" s="23"/>
      <c r="F3" s="23"/>
      <c r="G3" s="23"/>
      <c r="H3" s="23"/>
    </row>
    <row r="6" spans="1:17" x14ac:dyDescent="0.25">
      <c r="A6" t="s">
        <v>122</v>
      </c>
      <c r="B6" t="s">
        <v>123</v>
      </c>
      <c r="C6" t="s">
        <v>10</v>
      </c>
      <c r="D6" t="s">
        <v>8</v>
      </c>
      <c r="E6" t="s">
        <v>111</v>
      </c>
      <c r="F6" t="s">
        <v>11</v>
      </c>
      <c r="G6" t="s">
        <v>112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130</v>
      </c>
      <c r="O6" t="s">
        <v>131</v>
      </c>
      <c r="P6" t="s">
        <v>132</v>
      </c>
      <c r="Q6" t="s">
        <v>1328</v>
      </c>
    </row>
    <row r="7" spans="1:17" x14ac:dyDescent="0.25">
      <c r="A7" t="s">
        <v>133</v>
      </c>
      <c r="B7" t="s">
        <v>134</v>
      </c>
      <c r="C7" t="s">
        <v>135</v>
      </c>
      <c r="D7" s="8">
        <v>46179</v>
      </c>
      <c r="E7" t="s">
        <v>113</v>
      </c>
      <c r="F7" t="s">
        <v>18</v>
      </c>
      <c r="G7" t="s">
        <v>18</v>
      </c>
      <c r="H7" t="s">
        <v>1315</v>
      </c>
      <c r="I7" t="s">
        <v>136</v>
      </c>
      <c r="J7" t="s">
        <v>29</v>
      </c>
      <c r="K7">
        <v>4</v>
      </c>
      <c r="L7">
        <v>2028370</v>
      </c>
      <c r="M7">
        <v>15000</v>
      </c>
      <c r="N7" t="s">
        <v>137</v>
      </c>
      <c r="O7" t="s">
        <v>138</v>
      </c>
      <c r="P7" t="s">
        <v>139</v>
      </c>
      <c r="Q7" t="s">
        <v>21</v>
      </c>
    </row>
    <row r="8" spans="1:17" x14ac:dyDescent="0.25">
      <c r="A8" t="s">
        <v>140</v>
      </c>
      <c r="B8" t="s">
        <v>141</v>
      </c>
      <c r="C8" t="s">
        <v>142</v>
      </c>
      <c r="D8" s="8">
        <v>46031</v>
      </c>
      <c r="E8" t="s">
        <v>116</v>
      </c>
      <c r="F8" t="s">
        <v>31</v>
      </c>
      <c r="G8" t="s">
        <v>31</v>
      </c>
      <c r="H8" t="s">
        <v>143</v>
      </c>
      <c r="I8" t="s">
        <v>136</v>
      </c>
      <c r="J8" t="s">
        <v>29</v>
      </c>
      <c r="K8">
        <v>2</v>
      </c>
      <c r="L8">
        <v>370197</v>
      </c>
      <c r="M8">
        <v>25000</v>
      </c>
      <c r="N8" t="s">
        <v>137</v>
      </c>
      <c r="O8" t="s">
        <v>138</v>
      </c>
      <c r="P8" t="s">
        <v>139</v>
      </c>
      <c r="Q8" t="s">
        <v>21</v>
      </c>
    </row>
    <row r="9" spans="1:17" x14ac:dyDescent="0.25">
      <c r="A9" t="s">
        <v>144</v>
      </c>
      <c r="B9" t="s">
        <v>145</v>
      </c>
      <c r="C9" t="s">
        <v>146</v>
      </c>
      <c r="D9" s="8">
        <v>46063</v>
      </c>
      <c r="E9" t="s">
        <v>114</v>
      </c>
      <c r="F9" t="s">
        <v>31</v>
      </c>
      <c r="G9" t="s">
        <v>31</v>
      </c>
      <c r="H9" t="s">
        <v>143</v>
      </c>
      <c r="I9" t="s">
        <v>147</v>
      </c>
      <c r="J9" t="s">
        <v>32</v>
      </c>
      <c r="K9">
        <v>5</v>
      </c>
      <c r="L9">
        <v>832761</v>
      </c>
      <c r="M9">
        <v>50000</v>
      </c>
      <c r="N9" t="s">
        <v>148</v>
      </c>
      <c r="O9" t="s">
        <v>149</v>
      </c>
      <c r="P9" t="s">
        <v>139</v>
      </c>
      <c r="Q9" t="s">
        <v>21</v>
      </c>
    </row>
    <row r="10" spans="1:17" x14ac:dyDescent="0.25">
      <c r="A10" t="s">
        <v>150</v>
      </c>
      <c r="B10" t="s">
        <v>151</v>
      </c>
      <c r="C10" t="s">
        <v>152</v>
      </c>
      <c r="D10" s="8">
        <v>46026</v>
      </c>
      <c r="E10" t="s">
        <v>116</v>
      </c>
      <c r="F10" t="s">
        <v>27</v>
      </c>
      <c r="G10" t="s">
        <v>27</v>
      </c>
      <c r="H10" t="s">
        <v>143</v>
      </c>
      <c r="I10" t="s">
        <v>147</v>
      </c>
      <c r="J10" t="s">
        <v>20</v>
      </c>
      <c r="K10">
        <v>2</v>
      </c>
      <c r="L10">
        <v>1915625</v>
      </c>
      <c r="M10">
        <v>15000</v>
      </c>
      <c r="N10" t="s">
        <v>137</v>
      </c>
      <c r="O10" t="s">
        <v>138</v>
      </c>
      <c r="P10" t="s">
        <v>139</v>
      </c>
      <c r="Q10" t="s">
        <v>21</v>
      </c>
    </row>
    <row r="11" spans="1:17" x14ac:dyDescent="0.25">
      <c r="A11" t="s">
        <v>153</v>
      </c>
      <c r="B11" t="s">
        <v>154</v>
      </c>
      <c r="C11" t="s">
        <v>155</v>
      </c>
      <c r="D11" s="8">
        <v>46033</v>
      </c>
      <c r="E11" t="s">
        <v>116</v>
      </c>
      <c r="F11" t="s">
        <v>23</v>
      </c>
      <c r="G11" t="s">
        <v>23</v>
      </c>
      <c r="H11" t="s">
        <v>28</v>
      </c>
      <c r="I11" t="s">
        <v>39</v>
      </c>
      <c r="J11" t="s">
        <v>29</v>
      </c>
      <c r="K11">
        <v>1</v>
      </c>
      <c r="L11">
        <v>2094060</v>
      </c>
      <c r="M11">
        <v>50000</v>
      </c>
      <c r="N11" t="s">
        <v>137</v>
      </c>
      <c r="O11" t="s">
        <v>138</v>
      </c>
      <c r="P11" t="s">
        <v>156</v>
      </c>
      <c r="Q11" t="s">
        <v>21</v>
      </c>
    </row>
    <row r="12" spans="1:17" x14ac:dyDescent="0.25">
      <c r="A12" t="s">
        <v>157</v>
      </c>
      <c r="B12" t="s">
        <v>158</v>
      </c>
      <c r="C12" t="s">
        <v>159</v>
      </c>
      <c r="D12" s="8">
        <v>46026</v>
      </c>
      <c r="E12" t="s">
        <v>116</v>
      </c>
      <c r="F12" t="s">
        <v>23</v>
      </c>
      <c r="G12" t="s">
        <v>23</v>
      </c>
      <c r="H12" t="s">
        <v>160</v>
      </c>
      <c r="I12" t="s">
        <v>39</v>
      </c>
      <c r="J12" t="s">
        <v>25</v>
      </c>
      <c r="K12">
        <v>2</v>
      </c>
      <c r="L12">
        <v>1825479</v>
      </c>
      <c r="M12">
        <v>15000</v>
      </c>
      <c r="N12" t="s">
        <v>137</v>
      </c>
      <c r="O12" t="s">
        <v>161</v>
      </c>
      <c r="P12" t="s">
        <v>156</v>
      </c>
      <c r="Q12" t="s">
        <v>21</v>
      </c>
    </row>
    <row r="13" spans="1:17" x14ac:dyDescent="0.25">
      <c r="A13" t="s">
        <v>162</v>
      </c>
      <c r="B13" t="s">
        <v>163</v>
      </c>
      <c r="C13" t="s">
        <v>164</v>
      </c>
      <c r="D13" s="8">
        <v>46140</v>
      </c>
      <c r="E13" t="s">
        <v>117</v>
      </c>
      <c r="F13" t="s">
        <v>31</v>
      </c>
      <c r="G13" t="s">
        <v>31</v>
      </c>
      <c r="H13" t="s">
        <v>143</v>
      </c>
      <c r="I13" t="s">
        <v>136</v>
      </c>
      <c r="J13" t="s">
        <v>32</v>
      </c>
      <c r="K13">
        <v>4</v>
      </c>
      <c r="L13">
        <v>222397</v>
      </c>
      <c r="M13">
        <v>35000</v>
      </c>
      <c r="N13" t="s">
        <v>137</v>
      </c>
      <c r="O13" t="s">
        <v>165</v>
      </c>
      <c r="P13" t="s">
        <v>156</v>
      </c>
      <c r="Q13" t="s">
        <v>21</v>
      </c>
    </row>
    <row r="14" spans="1:17" x14ac:dyDescent="0.25">
      <c r="A14" t="s">
        <v>166</v>
      </c>
      <c r="B14" t="s">
        <v>167</v>
      </c>
      <c r="C14" t="s">
        <v>168</v>
      </c>
      <c r="D14" s="8">
        <v>46183</v>
      </c>
      <c r="E14" t="s">
        <v>113</v>
      </c>
      <c r="F14" t="s">
        <v>31</v>
      </c>
      <c r="G14" t="s">
        <v>31</v>
      </c>
      <c r="H14" t="s">
        <v>1315</v>
      </c>
      <c r="I14" t="s">
        <v>169</v>
      </c>
      <c r="J14" t="s">
        <v>35</v>
      </c>
      <c r="K14">
        <v>6</v>
      </c>
      <c r="L14">
        <v>416531</v>
      </c>
      <c r="M14">
        <v>35000</v>
      </c>
      <c r="N14" t="s">
        <v>137</v>
      </c>
      <c r="O14" t="s">
        <v>161</v>
      </c>
      <c r="P14" t="s">
        <v>156</v>
      </c>
      <c r="Q14" t="s">
        <v>21</v>
      </c>
    </row>
    <row r="15" spans="1:17" x14ac:dyDescent="0.25">
      <c r="A15" t="s">
        <v>170</v>
      </c>
      <c r="B15" t="s">
        <v>171</v>
      </c>
      <c r="C15" t="s">
        <v>172</v>
      </c>
      <c r="D15" s="8">
        <v>46198</v>
      </c>
      <c r="E15" t="s">
        <v>113</v>
      </c>
      <c r="F15" t="s">
        <v>34</v>
      </c>
      <c r="G15" t="s">
        <v>34</v>
      </c>
      <c r="H15" t="s">
        <v>160</v>
      </c>
      <c r="I15" t="s">
        <v>173</v>
      </c>
      <c r="J15" t="s">
        <v>32</v>
      </c>
      <c r="K15">
        <v>3</v>
      </c>
      <c r="L15">
        <v>459566</v>
      </c>
      <c r="M15">
        <v>50000</v>
      </c>
      <c r="N15" t="s">
        <v>137</v>
      </c>
      <c r="O15" t="s">
        <v>161</v>
      </c>
      <c r="P15" t="s">
        <v>139</v>
      </c>
      <c r="Q15" t="s">
        <v>21</v>
      </c>
    </row>
    <row r="16" spans="1:17" x14ac:dyDescent="0.25">
      <c r="A16" t="s">
        <v>174</v>
      </c>
      <c r="B16" t="s">
        <v>175</v>
      </c>
      <c r="C16" t="s">
        <v>176</v>
      </c>
      <c r="D16" s="8">
        <v>46181</v>
      </c>
      <c r="E16" t="s">
        <v>113</v>
      </c>
      <c r="F16" t="s">
        <v>23</v>
      </c>
      <c r="G16" t="s">
        <v>23</v>
      </c>
      <c r="H16" t="s">
        <v>143</v>
      </c>
      <c r="I16" t="s">
        <v>177</v>
      </c>
      <c r="J16" t="s">
        <v>25</v>
      </c>
      <c r="K16">
        <v>3</v>
      </c>
      <c r="L16">
        <v>291439</v>
      </c>
      <c r="M16">
        <v>25000</v>
      </c>
      <c r="N16" t="s">
        <v>137</v>
      </c>
      <c r="O16" t="s">
        <v>138</v>
      </c>
      <c r="P16" t="s">
        <v>156</v>
      </c>
      <c r="Q16" t="s">
        <v>21</v>
      </c>
    </row>
    <row r="17" spans="1:17" x14ac:dyDescent="0.25">
      <c r="A17" t="s">
        <v>178</v>
      </c>
      <c r="B17" t="s">
        <v>179</v>
      </c>
      <c r="C17" t="s">
        <v>180</v>
      </c>
      <c r="D17" s="8">
        <v>46052</v>
      </c>
      <c r="E17" t="s">
        <v>116</v>
      </c>
      <c r="F17" t="s">
        <v>18</v>
      </c>
      <c r="G17" t="s">
        <v>18</v>
      </c>
      <c r="H17" t="s">
        <v>1315</v>
      </c>
      <c r="I17" t="s">
        <v>136</v>
      </c>
      <c r="J17" t="s">
        <v>25</v>
      </c>
      <c r="K17">
        <v>7</v>
      </c>
      <c r="L17">
        <v>2126947</v>
      </c>
      <c r="M17">
        <v>50000</v>
      </c>
      <c r="N17" t="s">
        <v>37</v>
      </c>
      <c r="O17" t="s">
        <v>149</v>
      </c>
      <c r="P17" t="s">
        <v>139</v>
      </c>
      <c r="Q17" t="s">
        <v>21</v>
      </c>
    </row>
    <row r="18" spans="1:17" x14ac:dyDescent="0.25">
      <c r="A18" t="s">
        <v>181</v>
      </c>
      <c r="B18" t="s">
        <v>182</v>
      </c>
      <c r="C18" t="s">
        <v>183</v>
      </c>
      <c r="D18" s="8">
        <v>46036</v>
      </c>
      <c r="E18" t="s">
        <v>116</v>
      </c>
      <c r="F18" t="s">
        <v>23</v>
      </c>
      <c r="G18" t="s">
        <v>23</v>
      </c>
      <c r="H18" t="s">
        <v>28</v>
      </c>
      <c r="I18" t="s">
        <v>169</v>
      </c>
      <c r="J18" t="s">
        <v>35</v>
      </c>
      <c r="K18">
        <v>3</v>
      </c>
      <c r="L18">
        <v>385789</v>
      </c>
      <c r="M18">
        <v>25000</v>
      </c>
      <c r="N18" t="s">
        <v>137</v>
      </c>
      <c r="O18" t="s">
        <v>138</v>
      </c>
      <c r="P18" t="s">
        <v>139</v>
      </c>
      <c r="Q18" t="s">
        <v>21</v>
      </c>
    </row>
    <row r="19" spans="1:17" x14ac:dyDescent="0.25">
      <c r="A19" t="s">
        <v>184</v>
      </c>
      <c r="B19" t="s">
        <v>185</v>
      </c>
      <c r="C19" t="s">
        <v>164</v>
      </c>
      <c r="D19" s="8">
        <v>46181</v>
      </c>
      <c r="E19" t="s">
        <v>113</v>
      </c>
      <c r="F19" t="s">
        <v>18</v>
      </c>
      <c r="G19" t="s">
        <v>18</v>
      </c>
      <c r="H19" t="s">
        <v>1315</v>
      </c>
      <c r="I19" t="s">
        <v>173</v>
      </c>
      <c r="J19" t="s">
        <v>20</v>
      </c>
      <c r="K19">
        <v>2</v>
      </c>
      <c r="L19">
        <v>1664115</v>
      </c>
      <c r="M19">
        <v>0</v>
      </c>
      <c r="N19" t="s">
        <v>148</v>
      </c>
      <c r="O19" t="s">
        <v>138</v>
      </c>
      <c r="P19" t="s">
        <v>156</v>
      </c>
      <c r="Q19" t="s">
        <v>1318</v>
      </c>
    </row>
    <row r="20" spans="1:17" x14ac:dyDescent="0.25">
      <c r="A20" t="s">
        <v>186</v>
      </c>
      <c r="B20" t="s">
        <v>182</v>
      </c>
      <c r="C20" t="s">
        <v>183</v>
      </c>
      <c r="D20" s="8">
        <v>46051</v>
      </c>
      <c r="E20" t="s">
        <v>116</v>
      </c>
      <c r="F20" t="s">
        <v>34</v>
      </c>
      <c r="G20" t="s">
        <v>34</v>
      </c>
      <c r="H20" t="s">
        <v>28</v>
      </c>
      <c r="I20" t="s">
        <v>169</v>
      </c>
      <c r="J20" t="s">
        <v>35</v>
      </c>
      <c r="K20">
        <v>2</v>
      </c>
      <c r="L20">
        <v>740564</v>
      </c>
      <c r="M20">
        <v>35000</v>
      </c>
      <c r="N20" t="s">
        <v>148</v>
      </c>
      <c r="O20" t="s">
        <v>165</v>
      </c>
      <c r="P20" t="s">
        <v>156</v>
      </c>
      <c r="Q20" t="s">
        <v>21</v>
      </c>
    </row>
    <row r="21" spans="1:17" x14ac:dyDescent="0.25">
      <c r="A21" t="s">
        <v>187</v>
      </c>
      <c r="B21" t="s">
        <v>188</v>
      </c>
      <c r="C21" t="s">
        <v>189</v>
      </c>
      <c r="D21" s="8">
        <v>46111</v>
      </c>
      <c r="E21" t="s">
        <v>115</v>
      </c>
      <c r="F21" t="s">
        <v>23</v>
      </c>
      <c r="G21" t="s">
        <v>23</v>
      </c>
      <c r="H21" t="s">
        <v>160</v>
      </c>
      <c r="I21" t="s">
        <v>177</v>
      </c>
      <c r="J21" t="s">
        <v>35</v>
      </c>
      <c r="K21">
        <v>6</v>
      </c>
      <c r="L21">
        <v>1882152</v>
      </c>
      <c r="M21">
        <v>35000</v>
      </c>
      <c r="N21" t="s">
        <v>137</v>
      </c>
      <c r="O21" t="s">
        <v>161</v>
      </c>
      <c r="P21" t="s">
        <v>139</v>
      </c>
      <c r="Q21" t="s">
        <v>21</v>
      </c>
    </row>
    <row r="22" spans="1:17" x14ac:dyDescent="0.25">
      <c r="A22" t="s">
        <v>190</v>
      </c>
      <c r="B22" t="s">
        <v>191</v>
      </c>
      <c r="C22" t="s">
        <v>192</v>
      </c>
      <c r="D22" s="8">
        <v>46171</v>
      </c>
      <c r="E22" t="s">
        <v>26</v>
      </c>
      <c r="F22" t="s">
        <v>27</v>
      </c>
      <c r="G22" t="s">
        <v>27</v>
      </c>
      <c r="H22" t="s">
        <v>28</v>
      </c>
      <c r="I22" t="s">
        <v>39</v>
      </c>
      <c r="J22" t="s">
        <v>25</v>
      </c>
      <c r="K22">
        <v>4</v>
      </c>
      <c r="L22">
        <v>1557775</v>
      </c>
      <c r="M22">
        <v>25000</v>
      </c>
      <c r="N22" t="s">
        <v>137</v>
      </c>
      <c r="O22" t="s">
        <v>138</v>
      </c>
      <c r="P22" t="s">
        <v>156</v>
      </c>
      <c r="Q22" t="s">
        <v>21</v>
      </c>
    </row>
    <row r="23" spans="1:17" x14ac:dyDescent="0.25">
      <c r="A23" t="s">
        <v>193</v>
      </c>
      <c r="B23" t="s">
        <v>194</v>
      </c>
      <c r="C23" t="s">
        <v>195</v>
      </c>
      <c r="D23" s="8">
        <v>46101</v>
      </c>
      <c r="E23" t="s">
        <v>115</v>
      </c>
      <c r="F23" t="s">
        <v>23</v>
      </c>
      <c r="G23" t="s">
        <v>23</v>
      </c>
      <c r="H23" t="s">
        <v>143</v>
      </c>
      <c r="I23" t="s">
        <v>136</v>
      </c>
      <c r="J23" t="s">
        <v>25</v>
      </c>
      <c r="K23">
        <v>2</v>
      </c>
      <c r="L23">
        <v>840317</v>
      </c>
      <c r="M23">
        <v>25000</v>
      </c>
      <c r="N23" t="s">
        <v>137</v>
      </c>
      <c r="O23" t="s">
        <v>149</v>
      </c>
      <c r="P23" t="s">
        <v>139</v>
      </c>
      <c r="Q23" t="s">
        <v>21</v>
      </c>
    </row>
    <row r="24" spans="1:17" x14ac:dyDescent="0.25">
      <c r="A24" t="s">
        <v>196</v>
      </c>
      <c r="B24" t="s">
        <v>197</v>
      </c>
      <c r="C24" t="s">
        <v>198</v>
      </c>
      <c r="D24" s="8">
        <v>46181</v>
      </c>
      <c r="E24" t="s">
        <v>113</v>
      </c>
      <c r="F24" t="s">
        <v>18</v>
      </c>
      <c r="G24" t="s">
        <v>18</v>
      </c>
      <c r="H24" t="s">
        <v>143</v>
      </c>
      <c r="I24" t="s">
        <v>177</v>
      </c>
      <c r="J24" t="s">
        <v>20</v>
      </c>
      <c r="K24">
        <v>3</v>
      </c>
      <c r="L24">
        <v>794401</v>
      </c>
      <c r="M24">
        <v>50000</v>
      </c>
      <c r="N24" t="s">
        <v>137</v>
      </c>
      <c r="O24" t="s">
        <v>199</v>
      </c>
      <c r="P24" t="s">
        <v>156</v>
      </c>
      <c r="Q24" t="s">
        <v>21</v>
      </c>
    </row>
    <row r="25" spans="1:17" x14ac:dyDescent="0.25">
      <c r="A25" t="s">
        <v>200</v>
      </c>
      <c r="B25" t="s">
        <v>201</v>
      </c>
      <c r="C25" t="s">
        <v>202</v>
      </c>
      <c r="D25" s="8">
        <v>46170</v>
      </c>
      <c r="E25" t="s">
        <v>26</v>
      </c>
      <c r="F25" t="s">
        <v>23</v>
      </c>
      <c r="G25" t="s">
        <v>23</v>
      </c>
      <c r="H25" t="s">
        <v>1315</v>
      </c>
      <c r="I25" t="s">
        <v>136</v>
      </c>
      <c r="J25" t="s">
        <v>29</v>
      </c>
      <c r="K25">
        <v>3</v>
      </c>
      <c r="L25">
        <v>650468</v>
      </c>
      <c r="M25">
        <v>35000</v>
      </c>
      <c r="N25" t="s">
        <v>137</v>
      </c>
      <c r="O25" t="s">
        <v>161</v>
      </c>
      <c r="P25" t="s">
        <v>139</v>
      </c>
      <c r="Q25" t="s">
        <v>21</v>
      </c>
    </row>
    <row r="26" spans="1:17" x14ac:dyDescent="0.25">
      <c r="A26" t="s">
        <v>203</v>
      </c>
      <c r="B26" t="s">
        <v>204</v>
      </c>
      <c r="C26" t="s">
        <v>205</v>
      </c>
      <c r="D26" s="8">
        <v>46161</v>
      </c>
      <c r="E26" t="s">
        <v>26</v>
      </c>
      <c r="F26" t="s">
        <v>31</v>
      </c>
      <c r="G26" t="s">
        <v>31</v>
      </c>
      <c r="H26" t="s">
        <v>143</v>
      </c>
      <c r="I26" t="s">
        <v>39</v>
      </c>
      <c r="J26" t="s">
        <v>25</v>
      </c>
      <c r="K26">
        <v>3</v>
      </c>
      <c r="L26">
        <v>801983</v>
      </c>
      <c r="M26">
        <v>50000</v>
      </c>
      <c r="N26" t="s">
        <v>137</v>
      </c>
      <c r="O26" t="s">
        <v>161</v>
      </c>
      <c r="P26" t="s">
        <v>156</v>
      </c>
      <c r="Q26" t="s">
        <v>21</v>
      </c>
    </row>
    <row r="27" spans="1:17" x14ac:dyDescent="0.25">
      <c r="A27" t="s">
        <v>206</v>
      </c>
      <c r="B27" t="s">
        <v>207</v>
      </c>
      <c r="C27" t="s">
        <v>168</v>
      </c>
      <c r="D27" s="8">
        <v>46162</v>
      </c>
      <c r="E27" t="s">
        <v>26</v>
      </c>
      <c r="F27" t="s">
        <v>34</v>
      </c>
      <c r="G27" t="s">
        <v>34</v>
      </c>
      <c r="H27" t="s">
        <v>143</v>
      </c>
      <c r="I27" t="s">
        <v>147</v>
      </c>
      <c r="J27" t="s">
        <v>32</v>
      </c>
      <c r="K27">
        <v>6</v>
      </c>
      <c r="L27">
        <v>2248227</v>
      </c>
      <c r="M27">
        <v>25000</v>
      </c>
      <c r="N27" t="s">
        <v>137</v>
      </c>
      <c r="O27" t="s">
        <v>138</v>
      </c>
      <c r="P27" t="s">
        <v>139</v>
      </c>
      <c r="Q27" t="s">
        <v>21</v>
      </c>
    </row>
    <row r="28" spans="1:17" x14ac:dyDescent="0.25">
      <c r="A28" t="s">
        <v>208</v>
      </c>
      <c r="B28" t="s">
        <v>209</v>
      </c>
      <c r="C28" t="s">
        <v>210</v>
      </c>
      <c r="D28" s="8">
        <v>46051</v>
      </c>
      <c r="E28" t="s">
        <v>116</v>
      </c>
      <c r="F28" t="s">
        <v>23</v>
      </c>
      <c r="G28" t="s">
        <v>23</v>
      </c>
      <c r="H28" t="s">
        <v>28</v>
      </c>
      <c r="I28" t="s">
        <v>147</v>
      </c>
      <c r="J28" t="s">
        <v>29</v>
      </c>
      <c r="K28">
        <v>2</v>
      </c>
      <c r="L28">
        <v>2128992</v>
      </c>
      <c r="M28">
        <v>0</v>
      </c>
      <c r="N28" t="s">
        <v>137</v>
      </c>
      <c r="O28" t="s">
        <v>161</v>
      </c>
      <c r="P28" t="s">
        <v>139</v>
      </c>
      <c r="Q28" t="s">
        <v>1318</v>
      </c>
    </row>
    <row r="29" spans="1:17" x14ac:dyDescent="0.25">
      <c r="A29" t="s">
        <v>211</v>
      </c>
      <c r="B29" t="s">
        <v>212</v>
      </c>
      <c r="C29" t="s">
        <v>213</v>
      </c>
      <c r="D29" s="8">
        <v>46046</v>
      </c>
      <c r="E29" t="s">
        <v>116</v>
      </c>
      <c r="F29" t="s">
        <v>18</v>
      </c>
      <c r="G29" t="s">
        <v>18</v>
      </c>
      <c r="H29" t="s">
        <v>1315</v>
      </c>
      <c r="I29" t="s">
        <v>177</v>
      </c>
      <c r="J29" t="s">
        <v>20</v>
      </c>
      <c r="K29">
        <v>5</v>
      </c>
      <c r="L29">
        <v>1488880</v>
      </c>
      <c r="M29">
        <v>0</v>
      </c>
      <c r="N29" t="s">
        <v>214</v>
      </c>
      <c r="O29" t="s">
        <v>138</v>
      </c>
      <c r="P29" t="s">
        <v>156</v>
      </c>
      <c r="Q29" t="s">
        <v>1318</v>
      </c>
    </row>
    <row r="30" spans="1:17" x14ac:dyDescent="0.25">
      <c r="A30" t="s">
        <v>215</v>
      </c>
      <c r="B30" t="s">
        <v>216</v>
      </c>
      <c r="C30" t="s">
        <v>217</v>
      </c>
      <c r="D30" s="8">
        <v>46137</v>
      </c>
      <c r="E30" t="s">
        <v>117</v>
      </c>
      <c r="F30" t="s">
        <v>27</v>
      </c>
      <c r="G30" t="s">
        <v>27</v>
      </c>
      <c r="H30" t="s">
        <v>160</v>
      </c>
      <c r="I30" t="s">
        <v>169</v>
      </c>
      <c r="J30" t="s">
        <v>25</v>
      </c>
      <c r="K30">
        <v>4</v>
      </c>
      <c r="L30">
        <v>486485</v>
      </c>
      <c r="M30">
        <v>50000</v>
      </c>
      <c r="N30" t="s">
        <v>137</v>
      </c>
      <c r="O30" t="s">
        <v>161</v>
      </c>
      <c r="P30" t="s">
        <v>139</v>
      </c>
      <c r="Q30" t="s">
        <v>21</v>
      </c>
    </row>
    <row r="31" spans="1:17" x14ac:dyDescent="0.25">
      <c r="A31" t="s">
        <v>218</v>
      </c>
      <c r="B31" t="s">
        <v>219</v>
      </c>
      <c r="C31" t="s">
        <v>220</v>
      </c>
      <c r="D31" s="8">
        <v>46132</v>
      </c>
      <c r="E31" t="s">
        <v>117</v>
      </c>
      <c r="F31" t="s">
        <v>34</v>
      </c>
      <c r="G31" t="s">
        <v>34</v>
      </c>
      <c r="H31" t="s">
        <v>28</v>
      </c>
      <c r="I31" t="s">
        <v>147</v>
      </c>
      <c r="J31" t="s">
        <v>20</v>
      </c>
      <c r="K31">
        <v>3</v>
      </c>
      <c r="L31">
        <v>1670340</v>
      </c>
      <c r="M31">
        <v>35000</v>
      </c>
      <c r="N31" t="s">
        <v>137</v>
      </c>
      <c r="O31" t="s">
        <v>161</v>
      </c>
      <c r="P31" t="s">
        <v>156</v>
      </c>
      <c r="Q31" t="s">
        <v>21</v>
      </c>
    </row>
    <row r="32" spans="1:17" x14ac:dyDescent="0.25">
      <c r="A32" t="s">
        <v>221</v>
      </c>
      <c r="B32" t="s">
        <v>222</v>
      </c>
      <c r="C32" t="s">
        <v>223</v>
      </c>
      <c r="D32" s="8">
        <v>46136</v>
      </c>
      <c r="E32" t="s">
        <v>117</v>
      </c>
      <c r="F32" t="s">
        <v>31</v>
      </c>
      <c r="G32" t="s">
        <v>31</v>
      </c>
      <c r="H32" t="s">
        <v>28</v>
      </c>
      <c r="I32" t="s">
        <v>177</v>
      </c>
      <c r="J32" t="s">
        <v>35</v>
      </c>
      <c r="K32">
        <v>3</v>
      </c>
      <c r="L32">
        <v>1863193</v>
      </c>
      <c r="M32">
        <v>35000</v>
      </c>
      <c r="N32" t="s">
        <v>137</v>
      </c>
      <c r="O32" t="s">
        <v>138</v>
      </c>
      <c r="P32" t="s">
        <v>156</v>
      </c>
      <c r="Q32" t="s">
        <v>21</v>
      </c>
    </row>
    <row r="33" spans="1:17" x14ac:dyDescent="0.25">
      <c r="A33" t="s">
        <v>224</v>
      </c>
      <c r="B33" t="s">
        <v>225</v>
      </c>
      <c r="C33" t="s">
        <v>226</v>
      </c>
      <c r="D33" s="8">
        <v>46076</v>
      </c>
      <c r="E33" t="s">
        <v>114</v>
      </c>
      <c r="F33" t="s">
        <v>27</v>
      </c>
      <c r="G33" t="s">
        <v>27</v>
      </c>
      <c r="H33" t="s">
        <v>28</v>
      </c>
      <c r="I33" t="s">
        <v>173</v>
      </c>
      <c r="J33" t="s">
        <v>20</v>
      </c>
      <c r="K33">
        <v>7</v>
      </c>
      <c r="L33">
        <v>1391843</v>
      </c>
      <c r="M33">
        <v>35000</v>
      </c>
      <c r="N33" t="s">
        <v>137</v>
      </c>
      <c r="O33" t="s">
        <v>161</v>
      </c>
      <c r="P33" t="s">
        <v>139</v>
      </c>
      <c r="Q33" t="s">
        <v>21</v>
      </c>
    </row>
    <row r="34" spans="1:17" x14ac:dyDescent="0.25">
      <c r="A34" t="s">
        <v>227</v>
      </c>
      <c r="B34" t="s">
        <v>228</v>
      </c>
      <c r="C34" t="s">
        <v>217</v>
      </c>
      <c r="D34" s="8">
        <v>46092</v>
      </c>
      <c r="E34" t="s">
        <v>115</v>
      </c>
      <c r="F34" t="s">
        <v>18</v>
      </c>
      <c r="G34" t="s">
        <v>18</v>
      </c>
      <c r="H34" t="s">
        <v>143</v>
      </c>
      <c r="I34" t="s">
        <v>177</v>
      </c>
      <c r="J34" t="s">
        <v>32</v>
      </c>
      <c r="K34">
        <v>5</v>
      </c>
      <c r="L34">
        <v>1858597</v>
      </c>
      <c r="M34">
        <v>15000</v>
      </c>
      <c r="N34" t="s">
        <v>137</v>
      </c>
      <c r="O34" t="s">
        <v>138</v>
      </c>
      <c r="P34" t="s">
        <v>139</v>
      </c>
      <c r="Q34" t="s">
        <v>21</v>
      </c>
    </row>
    <row r="35" spans="1:17" x14ac:dyDescent="0.25">
      <c r="A35" t="s">
        <v>229</v>
      </c>
      <c r="B35" t="s">
        <v>230</v>
      </c>
      <c r="C35" t="s">
        <v>231</v>
      </c>
      <c r="D35" s="8">
        <v>46148</v>
      </c>
      <c r="E35" t="s">
        <v>26</v>
      </c>
      <c r="F35" t="s">
        <v>31</v>
      </c>
      <c r="G35" t="s">
        <v>31</v>
      </c>
      <c r="H35" t="s">
        <v>143</v>
      </c>
      <c r="I35" t="s">
        <v>173</v>
      </c>
      <c r="J35" t="s">
        <v>20</v>
      </c>
      <c r="K35">
        <v>7</v>
      </c>
      <c r="L35">
        <v>297137</v>
      </c>
      <c r="M35">
        <v>25000</v>
      </c>
      <c r="N35" t="s">
        <v>137</v>
      </c>
      <c r="O35" t="s">
        <v>138</v>
      </c>
      <c r="P35" t="s">
        <v>156</v>
      </c>
      <c r="Q35" t="s">
        <v>21</v>
      </c>
    </row>
    <row r="36" spans="1:17" x14ac:dyDescent="0.25">
      <c r="A36" t="s">
        <v>232</v>
      </c>
      <c r="B36" t="s">
        <v>233</v>
      </c>
      <c r="C36" t="s">
        <v>36</v>
      </c>
      <c r="D36" s="8">
        <v>46099</v>
      </c>
      <c r="E36" t="s">
        <v>115</v>
      </c>
      <c r="F36" t="s">
        <v>18</v>
      </c>
      <c r="G36" t="s">
        <v>18</v>
      </c>
      <c r="H36" t="s">
        <v>28</v>
      </c>
      <c r="I36" t="s">
        <v>169</v>
      </c>
      <c r="J36" t="s">
        <v>29</v>
      </c>
      <c r="K36">
        <v>6</v>
      </c>
      <c r="L36">
        <v>2101981</v>
      </c>
      <c r="M36">
        <v>0</v>
      </c>
      <c r="N36" t="s">
        <v>137</v>
      </c>
      <c r="O36" t="s">
        <v>161</v>
      </c>
      <c r="P36" t="s">
        <v>156</v>
      </c>
      <c r="Q36" t="s">
        <v>1318</v>
      </c>
    </row>
    <row r="37" spans="1:17" x14ac:dyDescent="0.25">
      <c r="A37" t="s">
        <v>234</v>
      </c>
      <c r="B37" t="s">
        <v>235</v>
      </c>
      <c r="C37" t="s">
        <v>142</v>
      </c>
      <c r="D37" s="8">
        <v>46093</v>
      </c>
      <c r="E37" t="s">
        <v>115</v>
      </c>
      <c r="F37" t="s">
        <v>27</v>
      </c>
      <c r="G37" t="s">
        <v>27</v>
      </c>
      <c r="H37" t="s">
        <v>28</v>
      </c>
      <c r="I37" t="s">
        <v>136</v>
      </c>
      <c r="J37" t="s">
        <v>32</v>
      </c>
      <c r="K37">
        <v>5</v>
      </c>
      <c r="L37">
        <v>2188002</v>
      </c>
      <c r="M37">
        <v>0</v>
      </c>
      <c r="N37" t="s">
        <v>137</v>
      </c>
      <c r="O37" t="s">
        <v>138</v>
      </c>
      <c r="P37" t="s">
        <v>156</v>
      </c>
      <c r="Q37" t="s">
        <v>1322</v>
      </c>
    </row>
    <row r="38" spans="1:17" x14ac:dyDescent="0.25">
      <c r="A38" t="s">
        <v>236</v>
      </c>
      <c r="B38" t="s">
        <v>237</v>
      </c>
      <c r="C38" t="s">
        <v>205</v>
      </c>
      <c r="D38" s="8">
        <v>46154</v>
      </c>
      <c r="E38" t="s">
        <v>26</v>
      </c>
      <c r="F38" t="s">
        <v>31</v>
      </c>
      <c r="G38" t="s">
        <v>31</v>
      </c>
      <c r="H38" t="s">
        <v>143</v>
      </c>
      <c r="I38" t="s">
        <v>136</v>
      </c>
      <c r="J38" t="s">
        <v>29</v>
      </c>
      <c r="K38">
        <v>2</v>
      </c>
      <c r="L38">
        <v>193589</v>
      </c>
      <c r="M38">
        <v>25000</v>
      </c>
      <c r="N38" t="s">
        <v>137</v>
      </c>
      <c r="O38" t="s">
        <v>161</v>
      </c>
      <c r="P38" t="s">
        <v>156</v>
      </c>
      <c r="Q38" t="s">
        <v>21</v>
      </c>
    </row>
    <row r="39" spans="1:17" x14ac:dyDescent="0.25">
      <c r="A39" t="s">
        <v>238</v>
      </c>
      <c r="B39" t="s">
        <v>239</v>
      </c>
      <c r="C39" t="s">
        <v>240</v>
      </c>
      <c r="D39" s="8">
        <v>46115</v>
      </c>
      <c r="E39" t="s">
        <v>117</v>
      </c>
      <c r="F39" t="s">
        <v>23</v>
      </c>
      <c r="G39" t="s">
        <v>23</v>
      </c>
      <c r="H39" t="s">
        <v>143</v>
      </c>
      <c r="I39" t="s">
        <v>169</v>
      </c>
      <c r="J39" t="s">
        <v>29</v>
      </c>
      <c r="K39">
        <v>1</v>
      </c>
      <c r="L39">
        <v>1879569</v>
      </c>
      <c r="M39">
        <v>25000</v>
      </c>
      <c r="N39" t="s">
        <v>137</v>
      </c>
      <c r="O39" t="s">
        <v>138</v>
      </c>
      <c r="P39" t="s">
        <v>156</v>
      </c>
      <c r="Q39" t="s">
        <v>21</v>
      </c>
    </row>
    <row r="40" spans="1:17" x14ac:dyDescent="0.25">
      <c r="A40" t="s">
        <v>241</v>
      </c>
      <c r="B40" t="s">
        <v>242</v>
      </c>
      <c r="C40" t="s">
        <v>176</v>
      </c>
      <c r="D40" s="8">
        <v>46065</v>
      </c>
      <c r="E40" t="s">
        <v>114</v>
      </c>
      <c r="F40" t="s">
        <v>34</v>
      </c>
      <c r="G40" t="s">
        <v>34</v>
      </c>
      <c r="H40" t="s">
        <v>1315</v>
      </c>
      <c r="I40" t="s">
        <v>169</v>
      </c>
      <c r="J40" t="s">
        <v>25</v>
      </c>
      <c r="K40">
        <v>7</v>
      </c>
      <c r="L40" t="s">
        <v>243</v>
      </c>
      <c r="M40">
        <v>25000</v>
      </c>
      <c r="N40" t="s">
        <v>137</v>
      </c>
      <c r="O40" t="s">
        <v>165</v>
      </c>
      <c r="P40" t="s">
        <v>156</v>
      </c>
      <c r="Q40" t="s">
        <v>21</v>
      </c>
    </row>
    <row r="41" spans="1:17" x14ac:dyDescent="0.25">
      <c r="A41" t="s">
        <v>244</v>
      </c>
      <c r="B41" t="s">
        <v>245</v>
      </c>
      <c r="C41" t="s">
        <v>246</v>
      </c>
      <c r="D41" s="8">
        <v>46171</v>
      </c>
      <c r="E41" t="s">
        <v>26</v>
      </c>
      <c r="F41" t="s">
        <v>31</v>
      </c>
      <c r="G41" t="s">
        <v>31</v>
      </c>
      <c r="H41" t="s">
        <v>28</v>
      </c>
      <c r="I41" t="s">
        <v>136</v>
      </c>
      <c r="J41" t="s">
        <v>29</v>
      </c>
      <c r="K41">
        <v>1</v>
      </c>
      <c r="L41">
        <v>1594840</v>
      </c>
      <c r="M41">
        <v>15000</v>
      </c>
      <c r="N41" t="s">
        <v>137</v>
      </c>
      <c r="O41" t="s">
        <v>161</v>
      </c>
      <c r="P41" t="s">
        <v>156</v>
      </c>
      <c r="Q41" t="s">
        <v>21</v>
      </c>
    </row>
    <row r="42" spans="1:17" x14ac:dyDescent="0.25">
      <c r="A42" t="s">
        <v>247</v>
      </c>
      <c r="B42" t="s">
        <v>248</v>
      </c>
      <c r="C42" t="s">
        <v>226</v>
      </c>
      <c r="D42" s="8">
        <v>46062</v>
      </c>
      <c r="E42" t="s">
        <v>114</v>
      </c>
      <c r="F42" t="s">
        <v>27</v>
      </c>
      <c r="G42" t="s">
        <v>27</v>
      </c>
      <c r="H42" t="s">
        <v>160</v>
      </c>
      <c r="I42" t="s">
        <v>39</v>
      </c>
      <c r="J42" t="s">
        <v>32</v>
      </c>
      <c r="K42">
        <v>7</v>
      </c>
      <c r="L42">
        <v>2231340</v>
      </c>
      <c r="M42">
        <v>15000</v>
      </c>
      <c r="N42" t="s">
        <v>137</v>
      </c>
      <c r="O42" t="s">
        <v>249</v>
      </c>
      <c r="P42" t="s">
        <v>156</v>
      </c>
      <c r="Q42" t="s">
        <v>21</v>
      </c>
    </row>
    <row r="43" spans="1:17" x14ac:dyDescent="0.25">
      <c r="A43" t="s">
        <v>250</v>
      </c>
      <c r="B43" t="s">
        <v>251</v>
      </c>
      <c r="C43" t="s">
        <v>17</v>
      </c>
      <c r="D43" s="8">
        <v>46056</v>
      </c>
      <c r="E43" t="s">
        <v>114</v>
      </c>
      <c r="F43" t="s">
        <v>31</v>
      </c>
      <c r="G43" t="s">
        <v>31</v>
      </c>
      <c r="H43" t="s">
        <v>1315</v>
      </c>
      <c r="I43" t="s">
        <v>177</v>
      </c>
      <c r="J43" t="s">
        <v>25</v>
      </c>
      <c r="K43">
        <v>3</v>
      </c>
      <c r="L43">
        <v>192894</v>
      </c>
      <c r="M43">
        <v>35000</v>
      </c>
      <c r="N43" t="s">
        <v>137</v>
      </c>
      <c r="O43" t="s">
        <v>138</v>
      </c>
      <c r="P43" t="s">
        <v>156</v>
      </c>
      <c r="Q43" t="s">
        <v>21</v>
      </c>
    </row>
    <row r="44" spans="1:17" x14ac:dyDescent="0.25">
      <c r="A44" t="s">
        <v>252</v>
      </c>
      <c r="B44" t="s">
        <v>253</v>
      </c>
      <c r="C44" t="s">
        <v>176</v>
      </c>
      <c r="D44" s="8">
        <v>46053</v>
      </c>
      <c r="E44" t="s">
        <v>116</v>
      </c>
      <c r="F44" t="s">
        <v>34</v>
      </c>
      <c r="G44" t="s">
        <v>34</v>
      </c>
      <c r="H44" t="s">
        <v>143</v>
      </c>
      <c r="I44" t="s">
        <v>177</v>
      </c>
      <c r="J44" t="s">
        <v>29</v>
      </c>
      <c r="K44">
        <v>7</v>
      </c>
      <c r="L44">
        <v>1052636</v>
      </c>
      <c r="M44">
        <v>15000</v>
      </c>
      <c r="N44" t="s">
        <v>137</v>
      </c>
      <c r="O44" t="s">
        <v>138</v>
      </c>
      <c r="P44" t="s">
        <v>156</v>
      </c>
      <c r="Q44" t="s">
        <v>21</v>
      </c>
    </row>
    <row r="45" spans="1:17" x14ac:dyDescent="0.25">
      <c r="A45" t="s">
        <v>254</v>
      </c>
      <c r="B45" t="s">
        <v>255</v>
      </c>
      <c r="C45" t="s">
        <v>33</v>
      </c>
      <c r="D45" s="8">
        <v>46199</v>
      </c>
      <c r="E45" t="s">
        <v>113</v>
      </c>
      <c r="F45" t="s">
        <v>23</v>
      </c>
      <c r="G45" t="s">
        <v>23</v>
      </c>
      <c r="H45" t="s">
        <v>143</v>
      </c>
      <c r="I45" t="s">
        <v>173</v>
      </c>
      <c r="J45" t="s">
        <v>20</v>
      </c>
      <c r="K45">
        <v>1</v>
      </c>
      <c r="L45">
        <v>588596</v>
      </c>
      <c r="M45">
        <v>0</v>
      </c>
      <c r="N45" t="s">
        <v>137</v>
      </c>
      <c r="O45" t="s">
        <v>138</v>
      </c>
      <c r="P45" t="s">
        <v>156</v>
      </c>
      <c r="Q45" t="s">
        <v>1318</v>
      </c>
    </row>
    <row r="46" spans="1:17" x14ac:dyDescent="0.25">
      <c r="A46" t="s">
        <v>256</v>
      </c>
      <c r="B46" t="s">
        <v>257</v>
      </c>
      <c r="C46" t="s">
        <v>258</v>
      </c>
      <c r="D46" s="8">
        <v>46053</v>
      </c>
      <c r="E46" t="s">
        <v>116</v>
      </c>
      <c r="F46" t="s">
        <v>23</v>
      </c>
      <c r="G46" t="s">
        <v>23</v>
      </c>
      <c r="H46" t="s">
        <v>160</v>
      </c>
      <c r="I46" t="s">
        <v>147</v>
      </c>
      <c r="J46" t="s">
        <v>29</v>
      </c>
      <c r="K46">
        <v>1</v>
      </c>
      <c r="L46">
        <v>1181211</v>
      </c>
      <c r="M46">
        <v>0</v>
      </c>
      <c r="N46" t="s">
        <v>137</v>
      </c>
      <c r="O46" t="s">
        <v>161</v>
      </c>
      <c r="P46" t="s">
        <v>156</v>
      </c>
      <c r="Q46" t="s">
        <v>1318</v>
      </c>
    </row>
    <row r="47" spans="1:17" x14ac:dyDescent="0.25">
      <c r="A47" t="s">
        <v>259</v>
      </c>
      <c r="B47" t="s">
        <v>260</v>
      </c>
      <c r="C47" t="s">
        <v>261</v>
      </c>
      <c r="D47" s="8">
        <v>46194</v>
      </c>
      <c r="E47" t="s">
        <v>113</v>
      </c>
      <c r="F47" t="s">
        <v>34</v>
      </c>
      <c r="G47" t="s">
        <v>34</v>
      </c>
      <c r="H47" t="s">
        <v>1315</v>
      </c>
      <c r="I47" t="s">
        <v>136</v>
      </c>
      <c r="J47" t="s">
        <v>29</v>
      </c>
      <c r="K47">
        <v>1</v>
      </c>
      <c r="L47">
        <v>1594439</v>
      </c>
      <c r="M47">
        <v>0</v>
      </c>
      <c r="N47" t="s">
        <v>262</v>
      </c>
      <c r="O47" t="s">
        <v>138</v>
      </c>
      <c r="P47" t="s">
        <v>156</v>
      </c>
      <c r="Q47" t="s">
        <v>1318</v>
      </c>
    </row>
    <row r="48" spans="1:17" x14ac:dyDescent="0.25">
      <c r="A48" t="s">
        <v>263</v>
      </c>
      <c r="B48" t="s">
        <v>264</v>
      </c>
      <c r="C48" t="s">
        <v>265</v>
      </c>
      <c r="D48" s="8">
        <v>46168</v>
      </c>
      <c r="E48" t="s">
        <v>26</v>
      </c>
      <c r="F48" t="s">
        <v>18</v>
      </c>
      <c r="G48" t="s">
        <v>18</v>
      </c>
      <c r="H48" t="s">
        <v>143</v>
      </c>
      <c r="I48" t="s">
        <v>136</v>
      </c>
      <c r="J48" t="s">
        <v>29</v>
      </c>
      <c r="K48">
        <v>7</v>
      </c>
      <c r="L48">
        <v>406626</v>
      </c>
      <c r="M48">
        <v>0</v>
      </c>
      <c r="N48" t="s">
        <v>137</v>
      </c>
      <c r="O48" t="s">
        <v>161</v>
      </c>
      <c r="P48" t="s">
        <v>156</v>
      </c>
      <c r="Q48" t="s">
        <v>1318</v>
      </c>
    </row>
    <row r="49" spans="1:17" x14ac:dyDescent="0.25">
      <c r="A49" t="s">
        <v>266</v>
      </c>
      <c r="B49" t="s">
        <v>267</v>
      </c>
      <c r="C49" t="s">
        <v>281</v>
      </c>
      <c r="D49" s="8">
        <v>46048</v>
      </c>
      <c r="E49" t="s">
        <v>116</v>
      </c>
      <c r="F49" t="s">
        <v>27</v>
      </c>
      <c r="G49" t="s">
        <v>27</v>
      </c>
      <c r="H49" t="s">
        <v>143</v>
      </c>
      <c r="I49" t="s">
        <v>39</v>
      </c>
      <c r="J49" t="s">
        <v>20</v>
      </c>
      <c r="K49">
        <v>7</v>
      </c>
      <c r="L49">
        <v>1017645</v>
      </c>
      <c r="M49">
        <v>50000</v>
      </c>
      <c r="N49" t="s">
        <v>137</v>
      </c>
      <c r="O49" t="s">
        <v>138</v>
      </c>
      <c r="P49" t="s">
        <v>156</v>
      </c>
      <c r="Q49" t="s">
        <v>21</v>
      </c>
    </row>
    <row r="50" spans="1:17" x14ac:dyDescent="0.25">
      <c r="A50" t="s">
        <v>268</v>
      </c>
      <c r="B50" t="s">
        <v>269</v>
      </c>
      <c r="C50" t="s">
        <v>180</v>
      </c>
      <c r="D50" s="8">
        <v>46113</v>
      </c>
      <c r="E50" t="s">
        <v>117</v>
      </c>
      <c r="F50" t="s">
        <v>34</v>
      </c>
      <c r="G50" t="s">
        <v>34</v>
      </c>
      <c r="H50" t="s">
        <v>160</v>
      </c>
      <c r="I50" t="s">
        <v>39</v>
      </c>
      <c r="J50" t="s">
        <v>20</v>
      </c>
      <c r="K50">
        <v>2</v>
      </c>
      <c r="L50">
        <v>1712220</v>
      </c>
      <c r="M50">
        <v>35000</v>
      </c>
      <c r="N50" t="s">
        <v>137</v>
      </c>
      <c r="O50" t="s">
        <v>138</v>
      </c>
      <c r="P50" t="s">
        <v>156</v>
      </c>
      <c r="Q50" t="s">
        <v>21</v>
      </c>
    </row>
    <row r="51" spans="1:17" x14ac:dyDescent="0.25">
      <c r="A51" t="s">
        <v>270</v>
      </c>
      <c r="B51" t="s">
        <v>271</v>
      </c>
      <c r="C51" t="s">
        <v>272</v>
      </c>
      <c r="D51" s="8">
        <v>46115</v>
      </c>
      <c r="E51" t="s">
        <v>117</v>
      </c>
      <c r="F51" t="s">
        <v>23</v>
      </c>
      <c r="G51" t="s">
        <v>23</v>
      </c>
      <c r="H51" t="s">
        <v>28</v>
      </c>
      <c r="I51" t="s">
        <v>136</v>
      </c>
      <c r="J51" t="s">
        <v>32</v>
      </c>
      <c r="K51">
        <v>6</v>
      </c>
      <c r="L51">
        <v>1329097</v>
      </c>
      <c r="M51">
        <v>50000</v>
      </c>
      <c r="N51" t="s">
        <v>137</v>
      </c>
      <c r="O51" t="s">
        <v>161</v>
      </c>
      <c r="P51" t="s">
        <v>139</v>
      </c>
      <c r="Q51" t="s">
        <v>21</v>
      </c>
    </row>
    <row r="52" spans="1:17" x14ac:dyDescent="0.25">
      <c r="A52" t="s">
        <v>273</v>
      </c>
      <c r="B52" t="s">
        <v>274</v>
      </c>
      <c r="C52" t="s">
        <v>192</v>
      </c>
      <c r="D52" s="8">
        <v>46136</v>
      </c>
      <c r="E52" t="s">
        <v>117</v>
      </c>
      <c r="F52" t="s">
        <v>18</v>
      </c>
      <c r="G52" t="s">
        <v>18</v>
      </c>
      <c r="H52" t="s">
        <v>160</v>
      </c>
      <c r="I52" t="s">
        <v>39</v>
      </c>
      <c r="J52" t="s">
        <v>25</v>
      </c>
      <c r="K52">
        <v>4</v>
      </c>
      <c r="L52">
        <v>1067381</v>
      </c>
      <c r="M52">
        <v>50000</v>
      </c>
      <c r="N52" t="s">
        <v>137</v>
      </c>
      <c r="O52" t="s">
        <v>165</v>
      </c>
      <c r="P52" t="s">
        <v>156</v>
      </c>
      <c r="Q52" t="s">
        <v>21</v>
      </c>
    </row>
    <row r="53" spans="1:17" x14ac:dyDescent="0.25">
      <c r="A53" t="s">
        <v>275</v>
      </c>
      <c r="B53" t="s">
        <v>276</v>
      </c>
      <c r="C53" t="s">
        <v>277</v>
      </c>
      <c r="D53" s="8">
        <v>46195</v>
      </c>
      <c r="E53" t="s">
        <v>113</v>
      </c>
      <c r="F53" t="s">
        <v>23</v>
      </c>
      <c r="G53" t="s">
        <v>23</v>
      </c>
      <c r="H53" t="s">
        <v>160</v>
      </c>
      <c r="I53" t="s">
        <v>177</v>
      </c>
      <c r="J53" t="s">
        <v>32</v>
      </c>
      <c r="K53">
        <v>4</v>
      </c>
      <c r="L53">
        <v>2182122</v>
      </c>
      <c r="M53">
        <v>0</v>
      </c>
      <c r="N53" t="s">
        <v>137</v>
      </c>
      <c r="O53" t="s">
        <v>138</v>
      </c>
      <c r="P53" t="s">
        <v>139</v>
      </c>
      <c r="Q53" t="s">
        <v>1318</v>
      </c>
    </row>
    <row r="54" spans="1:17" x14ac:dyDescent="0.25">
      <c r="A54" t="s">
        <v>278</v>
      </c>
      <c r="B54" t="s">
        <v>279</v>
      </c>
      <c r="C54" t="s">
        <v>22</v>
      </c>
      <c r="D54" s="8">
        <v>46174</v>
      </c>
      <c r="E54" t="s">
        <v>113</v>
      </c>
      <c r="F54" t="s">
        <v>18</v>
      </c>
      <c r="G54" t="s">
        <v>18</v>
      </c>
      <c r="H54" t="s">
        <v>28</v>
      </c>
      <c r="I54" t="s">
        <v>173</v>
      </c>
      <c r="J54" t="s">
        <v>29</v>
      </c>
      <c r="K54">
        <v>1</v>
      </c>
      <c r="L54">
        <v>546653</v>
      </c>
      <c r="M54">
        <v>15000</v>
      </c>
      <c r="N54" t="s">
        <v>137</v>
      </c>
      <c r="O54" t="s">
        <v>161</v>
      </c>
      <c r="P54" t="s">
        <v>139</v>
      </c>
      <c r="Q54" t="s">
        <v>21</v>
      </c>
    </row>
    <row r="55" spans="1:17" x14ac:dyDescent="0.25">
      <c r="A55" t="s">
        <v>280</v>
      </c>
      <c r="B55" t="s">
        <v>267</v>
      </c>
      <c r="C55" t="s">
        <v>281</v>
      </c>
      <c r="D55" s="8">
        <v>46150</v>
      </c>
      <c r="E55" t="s">
        <v>26</v>
      </c>
      <c r="F55" t="s">
        <v>31</v>
      </c>
      <c r="G55" t="s">
        <v>31</v>
      </c>
      <c r="H55" t="s">
        <v>1315</v>
      </c>
      <c r="I55" t="s">
        <v>39</v>
      </c>
      <c r="J55" t="s">
        <v>35</v>
      </c>
      <c r="K55">
        <v>5</v>
      </c>
      <c r="L55">
        <v>1288190</v>
      </c>
      <c r="M55">
        <v>50000</v>
      </c>
      <c r="N55" t="s">
        <v>137</v>
      </c>
      <c r="O55" t="s">
        <v>165</v>
      </c>
      <c r="P55" t="s">
        <v>139</v>
      </c>
      <c r="Q55" t="s">
        <v>21</v>
      </c>
    </row>
    <row r="56" spans="1:17" x14ac:dyDescent="0.25">
      <c r="A56" t="s">
        <v>282</v>
      </c>
      <c r="B56" t="s">
        <v>283</v>
      </c>
      <c r="C56" t="s">
        <v>284</v>
      </c>
      <c r="D56" s="8">
        <v>46153</v>
      </c>
      <c r="E56" t="s">
        <v>26</v>
      </c>
      <c r="F56" t="s">
        <v>31</v>
      </c>
      <c r="G56" t="s">
        <v>31</v>
      </c>
      <c r="H56" t="s">
        <v>28</v>
      </c>
      <c r="I56" t="s">
        <v>177</v>
      </c>
      <c r="J56" t="s">
        <v>29</v>
      </c>
      <c r="K56">
        <v>7</v>
      </c>
      <c r="L56">
        <v>1289752</v>
      </c>
      <c r="M56">
        <v>15000</v>
      </c>
      <c r="N56" t="s">
        <v>137</v>
      </c>
      <c r="O56" t="s">
        <v>161</v>
      </c>
      <c r="P56" t="s">
        <v>156</v>
      </c>
      <c r="Q56" t="s">
        <v>21</v>
      </c>
    </row>
    <row r="57" spans="1:17" x14ac:dyDescent="0.25">
      <c r="A57" t="s">
        <v>285</v>
      </c>
      <c r="B57" t="s">
        <v>286</v>
      </c>
      <c r="C57" t="s">
        <v>287</v>
      </c>
      <c r="D57" s="8">
        <v>46036</v>
      </c>
      <c r="E57" t="s">
        <v>116</v>
      </c>
      <c r="F57" t="s">
        <v>27</v>
      </c>
      <c r="G57" t="s">
        <v>27</v>
      </c>
      <c r="H57" t="s">
        <v>1315</v>
      </c>
      <c r="I57" t="s">
        <v>177</v>
      </c>
      <c r="J57" t="s">
        <v>25</v>
      </c>
      <c r="K57">
        <v>6</v>
      </c>
      <c r="L57">
        <v>406171</v>
      </c>
      <c r="M57">
        <v>35000</v>
      </c>
      <c r="N57" t="s">
        <v>137</v>
      </c>
      <c r="O57" t="s">
        <v>161</v>
      </c>
      <c r="P57" t="s">
        <v>156</v>
      </c>
      <c r="Q57" t="s">
        <v>21</v>
      </c>
    </row>
    <row r="58" spans="1:17" x14ac:dyDescent="0.25">
      <c r="A58" t="s">
        <v>288</v>
      </c>
      <c r="B58" t="s">
        <v>289</v>
      </c>
      <c r="C58" t="s">
        <v>146</v>
      </c>
      <c r="D58" s="8">
        <v>46042</v>
      </c>
      <c r="E58" t="s">
        <v>116</v>
      </c>
      <c r="F58" t="s">
        <v>31</v>
      </c>
      <c r="G58" t="s">
        <v>31</v>
      </c>
      <c r="H58" t="s">
        <v>28</v>
      </c>
      <c r="I58" t="s">
        <v>147</v>
      </c>
      <c r="J58" t="s">
        <v>25</v>
      </c>
      <c r="K58">
        <v>7</v>
      </c>
      <c r="L58">
        <v>2300823</v>
      </c>
      <c r="M58">
        <v>35000</v>
      </c>
      <c r="N58" t="s">
        <v>137</v>
      </c>
      <c r="O58" t="s">
        <v>161</v>
      </c>
      <c r="P58" t="s">
        <v>139</v>
      </c>
      <c r="Q58" t="s">
        <v>21</v>
      </c>
    </row>
    <row r="59" spans="1:17" x14ac:dyDescent="0.25">
      <c r="A59" t="s">
        <v>290</v>
      </c>
      <c r="B59" t="s">
        <v>291</v>
      </c>
      <c r="C59" t="s">
        <v>292</v>
      </c>
      <c r="D59" s="8">
        <v>46161</v>
      </c>
      <c r="E59" t="s">
        <v>26</v>
      </c>
      <c r="F59" t="s">
        <v>23</v>
      </c>
      <c r="G59" t="s">
        <v>23</v>
      </c>
      <c r="H59" t="s">
        <v>28</v>
      </c>
      <c r="I59" t="s">
        <v>39</v>
      </c>
      <c r="J59" t="s">
        <v>25</v>
      </c>
      <c r="K59">
        <v>7</v>
      </c>
      <c r="L59">
        <v>2412690</v>
      </c>
      <c r="M59">
        <v>0</v>
      </c>
      <c r="N59" t="s">
        <v>137</v>
      </c>
      <c r="O59" t="s">
        <v>138</v>
      </c>
      <c r="P59" t="s">
        <v>139</v>
      </c>
      <c r="Q59" t="s">
        <v>1318</v>
      </c>
    </row>
    <row r="60" spans="1:17" x14ac:dyDescent="0.25">
      <c r="A60" t="s">
        <v>293</v>
      </c>
      <c r="B60" t="s">
        <v>294</v>
      </c>
      <c r="C60" t="s">
        <v>223</v>
      </c>
      <c r="D60" s="8">
        <v>46140</v>
      </c>
      <c r="E60" t="s">
        <v>117</v>
      </c>
      <c r="F60" t="s">
        <v>34</v>
      </c>
      <c r="G60" t="s">
        <v>34</v>
      </c>
      <c r="H60" t="s">
        <v>143</v>
      </c>
      <c r="I60" t="s">
        <v>39</v>
      </c>
      <c r="J60" t="s">
        <v>32</v>
      </c>
      <c r="K60">
        <v>2</v>
      </c>
      <c r="L60">
        <v>270915</v>
      </c>
      <c r="M60">
        <v>0</v>
      </c>
      <c r="N60" t="s">
        <v>137</v>
      </c>
      <c r="O60" t="s">
        <v>165</v>
      </c>
      <c r="P60" t="s">
        <v>156</v>
      </c>
      <c r="Q60" t="s">
        <v>1318</v>
      </c>
    </row>
    <row r="61" spans="1:17" x14ac:dyDescent="0.25">
      <c r="A61" t="s">
        <v>295</v>
      </c>
      <c r="B61" t="s">
        <v>296</v>
      </c>
      <c r="C61" t="s">
        <v>297</v>
      </c>
      <c r="D61" s="8">
        <v>46299</v>
      </c>
      <c r="E61" t="s">
        <v>1316</v>
      </c>
      <c r="F61" t="s">
        <v>27</v>
      </c>
      <c r="G61" t="s">
        <v>27</v>
      </c>
      <c r="H61" t="s">
        <v>28</v>
      </c>
      <c r="I61" t="s">
        <v>39</v>
      </c>
      <c r="J61" t="s">
        <v>35</v>
      </c>
      <c r="K61">
        <v>5</v>
      </c>
      <c r="L61">
        <v>2164534</v>
      </c>
      <c r="M61">
        <v>0</v>
      </c>
      <c r="N61" t="s">
        <v>137</v>
      </c>
      <c r="O61" t="s">
        <v>138</v>
      </c>
      <c r="P61" t="s">
        <v>156</v>
      </c>
      <c r="Q61" t="s">
        <v>1318</v>
      </c>
    </row>
    <row r="62" spans="1:17" x14ac:dyDescent="0.25">
      <c r="A62" t="s">
        <v>298</v>
      </c>
      <c r="B62" t="s">
        <v>264</v>
      </c>
      <c r="C62" t="s">
        <v>265</v>
      </c>
      <c r="D62" s="8">
        <v>46037</v>
      </c>
      <c r="E62" t="s">
        <v>116</v>
      </c>
      <c r="F62" t="s">
        <v>34</v>
      </c>
      <c r="G62" t="s">
        <v>34</v>
      </c>
      <c r="H62" t="s">
        <v>1315</v>
      </c>
      <c r="I62" t="s">
        <v>136</v>
      </c>
      <c r="J62" t="s">
        <v>20</v>
      </c>
      <c r="K62">
        <v>4</v>
      </c>
      <c r="L62">
        <v>1761586</v>
      </c>
      <c r="M62">
        <v>25000</v>
      </c>
      <c r="N62" t="s">
        <v>137</v>
      </c>
      <c r="O62" t="s">
        <v>138</v>
      </c>
      <c r="P62" t="s">
        <v>156</v>
      </c>
      <c r="Q62" t="s">
        <v>21</v>
      </c>
    </row>
    <row r="63" spans="1:17" x14ac:dyDescent="0.25">
      <c r="A63" t="s">
        <v>299</v>
      </c>
      <c r="B63" t="s">
        <v>300</v>
      </c>
      <c r="C63" t="s">
        <v>301</v>
      </c>
      <c r="D63" s="8">
        <v>46034</v>
      </c>
      <c r="E63" t="s">
        <v>116</v>
      </c>
      <c r="F63" t="s">
        <v>34</v>
      </c>
      <c r="G63" t="s">
        <v>34</v>
      </c>
      <c r="H63" t="s">
        <v>28</v>
      </c>
      <c r="I63" t="s">
        <v>173</v>
      </c>
      <c r="J63" t="s">
        <v>32</v>
      </c>
      <c r="K63">
        <v>3</v>
      </c>
      <c r="L63">
        <v>657701</v>
      </c>
      <c r="M63">
        <v>25000</v>
      </c>
      <c r="N63" t="s">
        <v>148</v>
      </c>
      <c r="O63" t="s">
        <v>149</v>
      </c>
      <c r="P63" t="s">
        <v>139</v>
      </c>
      <c r="Q63" t="s">
        <v>21</v>
      </c>
    </row>
    <row r="64" spans="1:17" x14ac:dyDescent="0.25">
      <c r="A64" t="s">
        <v>302</v>
      </c>
      <c r="B64" t="s">
        <v>212</v>
      </c>
      <c r="C64" t="s">
        <v>213</v>
      </c>
      <c r="D64" s="8">
        <v>46128</v>
      </c>
      <c r="E64" t="s">
        <v>117</v>
      </c>
      <c r="F64" t="s">
        <v>34</v>
      </c>
      <c r="G64" t="s">
        <v>34</v>
      </c>
      <c r="H64" t="s">
        <v>160</v>
      </c>
      <c r="I64" t="s">
        <v>169</v>
      </c>
      <c r="J64" t="s">
        <v>20</v>
      </c>
      <c r="K64">
        <v>6</v>
      </c>
      <c r="L64">
        <v>1593330</v>
      </c>
      <c r="M64">
        <v>0</v>
      </c>
      <c r="N64" t="s">
        <v>137</v>
      </c>
      <c r="O64" t="s">
        <v>161</v>
      </c>
      <c r="P64" t="s">
        <v>139</v>
      </c>
      <c r="Q64" t="s">
        <v>1318</v>
      </c>
    </row>
    <row r="65" spans="1:17" x14ac:dyDescent="0.25">
      <c r="A65" t="s">
        <v>303</v>
      </c>
      <c r="B65" t="s">
        <v>251</v>
      </c>
      <c r="C65" t="s">
        <v>17</v>
      </c>
      <c r="D65" s="8">
        <v>46109</v>
      </c>
      <c r="E65" t="s">
        <v>115</v>
      </c>
      <c r="F65" t="s">
        <v>31</v>
      </c>
      <c r="G65" t="s">
        <v>31</v>
      </c>
      <c r="H65" t="s">
        <v>28</v>
      </c>
      <c r="I65" t="s">
        <v>136</v>
      </c>
      <c r="J65" t="s">
        <v>20</v>
      </c>
      <c r="K65">
        <v>5</v>
      </c>
      <c r="L65">
        <v>832105</v>
      </c>
      <c r="M65">
        <v>0</v>
      </c>
      <c r="N65" t="s">
        <v>137</v>
      </c>
      <c r="O65" t="s">
        <v>138</v>
      </c>
      <c r="P65" t="s">
        <v>139</v>
      </c>
      <c r="Q65" t="s">
        <v>1318</v>
      </c>
    </row>
    <row r="66" spans="1:17" x14ac:dyDescent="0.25">
      <c r="A66" t="s">
        <v>304</v>
      </c>
      <c r="B66" t="s">
        <v>305</v>
      </c>
      <c r="C66" t="s">
        <v>306</v>
      </c>
      <c r="D66" s="8">
        <v>46028</v>
      </c>
      <c r="E66" t="s">
        <v>116</v>
      </c>
      <c r="F66" t="s">
        <v>31</v>
      </c>
      <c r="G66" t="s">
        <v>31</v>
      </c>
      <c r="H66" t="s">
        <v>160</v>
      </c>
      <c r="I66" t="s">
        <v>169</v>
      </c>
      <c r="J66" t="s">
        <v>29</v>
      </c>
      <c r="K66">
        <v>5</v>
      </c>
      <c r="M66">
        <v>35000</v>
      </c>
      <c r="N66" t="s">
        <v>137</v>
      </c>
      <c r="O66" t="s">
        <v>138</v>
      </c>
      <c r="P66" t="s">
        <v>139</v>
      </c>
      <c r="Q66" t="s">
        <v>1317</v>
      </c>
    </row>
    <row r="67" spans="1:17" x14ac:dyDescent="0.25">
      <c r="A67" t="s">
        <v>307</v>
      </c>
      <c r="B67" t="s">
        <v>308</v>
      </c>
      <c r="C67" t="s">
        <v>22</v>
      </c>
      <c r="D67" s="8">
        <v>46151</v>
      </c>
      <c r="E67" t="s">
        <v>26</v>
      </c>
      <c r="F67" t="s">
        <v>18</v>
      </c>
      <c r="G67" t="s">
        <v>18</v>
      </c>
      <c r="H67" t="s">
        <v>28</v>
      </c>
      <c r="I67" t="s">
        <v>169</v>
      </c>
      <c r="J67" t="s">
        <v>20</v>
      </c>
      <c r="K67">
        <v>5</v>
      </c>
      <c r="L67">
        <v>1544131</v>
      </c>
      <c r="M67">
        <v>15000</v>
      </c>
      <c r="N67" t="s">
        <v>137</v>
      </c>
      <c r="O67" t="s">
        <v>309</v>
      </c>
      <c r="P67" t="s">
        <v>156</v>
      </c>
      <c r="Q67" t="s">
        <v>21</v>
      </c>
    </row>
    <row r="68" spans="1:17" x14ac:dyDescent="0.25">
      <c r="A68" t="s">
        <v>310</v>
      </c>
      <c r="B68" t="s">
        <v>311</v>
      </c>
      <c r="C68" t="s">
        <v>272</v>
      </c>
      <c r="D68" s="8">
        <v>46090</v>
      </c>
      <c r="E68" t="s">
        <v>115</v>
      </c>
      <c r="F68" t="s">
        <v>23</v>
      </c>
      <c r="G68" t="s">
        <v>23</v>
      </c>
      <c r="H68" t="s">
        <v>160</v>
      </c>
      <c r="I68" t="s">
        <v>147</v>
      </c>
      <c r="J68" t="s">
        <v>25</v>
      </c>
      <c r="K68">
        <v>5</v>
      </c>
      <c r="L68">
        <v>319360</v>
      </c>
      <c r="M68">
        <v>25000</v>
      </c>
      <c r="N68" t="s">
        <v>137</v>
      </c>
      <c r="O68" t="s">
        <v>161</v>
      </c>
      <c r="P68" t="s">
        <v>139</v>
      </c>
      <c r="Q68" t="s">
        <v>21</v>
      </c>
    </row>
    <row r="69" spans="1:17" x14ac:dyDescent="0.25">
      <c r="A69" t="s">
        <v>312</v>
      </c>
      <c r="B69" t="s">
        <v>313</v>
      </c>
      <c r="C69" t="s">
        <v>314</v>
      </c>
      <c r="D69" s="8">
        <v>46168</v>
      </c>
      <c r="E69" t="s">
        <v>26</v>
      </c>
      <c r="F69" t="s">
        <v>34</v>
      </c>
      <c r="G69" t="s">
        <v>34</v>
      </c>
      <c r="H69" t="s">
        <v>1315</v>
      </c>
      <c r="I69" t="s">
        <v>39</v>
      </c>
      <c r="J69" t="s">
        <v>35</v>
      </c>
      <c r="K69">
        <v>4</v>
      </c>
      <c r="L69">
        <v>2347442</v>
      </c>
      <c r="M69">
        <v>35000</v>
      </c>
      <c r="N69" t="s">
        <v>137</v>
      </c>
      <c r="O69" t="s">
        <v>165</v>
      </c>
      <c r="P69" t="s">
        <v>139</v>
      </c>
      <c r="Q69" t="s">
        <v>21</v>
      </c>
    </row>
    <row r="70" spans="1:17" x14ac:dyDescent="0.25">
      <c r="A70" t="s">
        <v>315</v>
      </c>
      <c r="B70" t="s">
        <v>316</v>
      </c>
      <c r="C70" t="s">
        <v>317</v>
      </c>
      <c r="D70" s="8">
        <v>46129</v>
      </c>
      <c r="E70" t="s">
        <v>117</v>
      </c>
      <c r="F70" t="s">
        <v>27</v>
      </c>
      <c r="G70" t="s">
        <v>27</v>
      </c>
      <c r="H70" t="s">
        <v>143</v>
      </c>
      <c r="I70" t="s">
        <v>173</v>
      </c>
      <c r="J70" t="s">
        <v>35</v>
      </c>
      <c r="K70">
        <v>5</v>
      </c>
      <c r="L70">
        <v>1807372</v>
      </c>
      <c r="M70">
        <v>25000</v>
      </c>
      <c r="N70" t="s">
        <v>137</v>
      </c>
      <c r="O70" t="s">
        <v>138</v>
      </c>
      <c r="P70" t="s">
        <v>156</v>
      </c>
      <c r="Q70" t="s">
        <v>21</v>
      </c>
    </row>
    <row r="71" spans="1:17" x14ac:dyDescent="0.25">
      <c r="A71" t="s">
        <v>318</v>
      </c>
      <c r="B71" t="s">
        <v>319</v>
      </c>
      <c r="C71" t="s">
        <v>320</v>
      </c>
      <c r="D71" s="8">
        <v>46150</v>
      </c>
      <c r="E71" t="s">
        <v>26</v>
      </c>
      <c r="F71" t="s">
        <v>27</v>
      </c>
      <c r="G71" t="s">
        <v>27</v>
      </c>
      <c r="H71" t="s">
        <v>28</v>
      </c>
      <c r="I71" t="s">
        <v>147</v>
      </c>
      <c r="J71" t="s">
        <v>20</v>
      </c>
      <c r="K71">
        <v>3</v>
      </c>
      <c r="L71">
        <v>1013188</v>
      </c>
      <c r="M71">
        <v>35000</v>
      </c>
      <c r="N71" t="s">
        <v>43</v>
      </c>
      <c r="O71" t="s">
        <v>138</v>
      </c>
      <c r="P71" t="s">
        <v>156</v>
      </c>
      <c r="Q71" t="s">
        <v>38</v>
      </c>
    </row>
    <row r="72" spans="1:17" x14ac:dyDescent="0.25">
      <c r="A72" t="s">
        <v>321</v>
      </c>
      <c r="B72" t="s">
        <v>322</v>
      </c>
      <c r="C72" t="s">
        <v>323</v>
      </c>
      <c r="D72" s="8">
        <v>46141</v>
      </c>
      <c r="E72" t="s">
        <v>117</v>
      </c>
      <c r="F72" t="s">
        <v>31</v>
      </c>
      <c r="G72" t="s">
        <v>31</v>
      </c>
      <c r="H72" t="s">
        <v>28</v>
      </c>
      <c r="I72" t="s">
        <v>136</v>
      </c>
      <c r="J72" t="s">
        <v>20</v>
      </c>
      <c r="K72">
        <v>2</v>
      </c>
      <c r="L72">
        <v>739681</v>
      </c>
      <c r="M72">
        <v>15000</v>
      </c>
      <c r="N72" t="s">
        <v>214</v>
      </c>
      <c r="O72" t="s">
        <v>138</v>
      </c>
      <c r="P72" t="s">
        <v>156</v>
      </c>
      <c r="Q72" t="s">
        <v>21</v>
      </c>
    </row>
    <row r="73" spans="1:17" x14ac:dyDescent="0.25">
      <c r="A73" t="s">
        <v>324</v>
      </c>
      <c r="B73" t="s">
        <v>325</v>
      </c>
      <c r="C73" t="s">
        <v>284</v>
      </c>
      <c r="D73" s="8">
        <v>46128</v>
      </c>
      <c r="E73" t="s">
        <v>117</v>
      </c>
      <c r="F73" t="s">
        <v>18</v>
      </c>
      <c r="G73" t="s">
        <v>18</v>
      </c>
      <c r="H73" t="s">
        <v>28</v>
      </c>
      <c r="I73" t="s">
        <v>177</v>
      </c>
      <c r="J73" t="s">
        <v>20</v>
      </c>
      <c r="K73">
        <v>6</v>
      </c>
      <c r="L73">
        <v>1239605</v>
      </c>
      <c r="M73">
        <v>25000</v>
      </c>
      <c r="N73" t="s">
        <v>137</v>
      </c>
      <c r="O73" t="s">
        <v>138</v>
      </c>
      <c r="P73" t="s">
        <v>156</v>
      </c>
      <c r="Q73" t="s">
        <v>21</v>
      </c>
    </row>
    <row r="74" spans="1:17" x14ac:dyDescent="0.25">
      <c r="A74" t="s">
        <v>326</v>
      </c>
      <c r="B74" t="s">
        <v>327</v>
      </c>
      <c r="C74" t="s">
        <v>328</v>
      </c>
      <c r="D74" s="8">
        <v>46030</v>
      </c>
      <c r="E74" t="s">
        <v>116</v>
      </c>
      <c r="F74" t="s">
        <v>31</v>
      </c>
      <c r="G74" t="s">
        <v>31</v>
      </c>
      <c r="H74" t="s">
        <v>160</v>
      </c>
      <c r="I74" t="s">
        <v>177</v>
      </c>
      <c r="J74" t="s">
        <v>29</v>
      </c>
      <c r="K74">
        <v>4</v>
      </c>
      <c r="L74">
        <v>1150064</v>
      </c>
      <c r="M74">
        <v>25000</v>
      </c>
      <c r="N74" t="s">
        <v>137</v>
      </c>
      <c r="O74" t="s">
        <v>149</v>
      </c>
      <c r="P74" t="s">
        <v>139</v>
      </c>
      <c r="Q74" t="s">
        <v>21</v>
      </c>
    </row>
    <row r="75" spans="1:17" x14ac:dyDescent="0.25">
      <c r="A75" t="s">
        <v>329</v>
      </c>
      <c r="B75" t="s">
        <v>330</v>
      </c>
      <c r="C75" t="s">
        <v>331</v>
      </c>
      <c r="D75" s="8">
        <v>46030</v>
      </c>
      <c r="E75" t="s">
        <v>116</v>
      </c>
      <c r="F75" t="s">
        <v>23</v>
      </c>
      <c r="G75" t="s">
        <v>23</v>
      </c>
      <c r="H75" t="s">
        <v>28</v>
      </c>
      <c r="I75" t="s">
        <v>173</v>
      </c>
      <c r="J75" t="s">
        <v>20</v>
      </c>
      <c r="K75">
        <v>6</v>
      </c>
      <c r="L75">
        <v>1203794</v>
      </c>
      <c r="M75">
        <v>25000</v>
      </c>
      <c r="N75" t="s">
        <v>137</v>
      </c>
      <c r="O75" t="s">
        <v>138</v>
      </c>
      <c r="P75" t="s">
        <v>156</v>
      </c>
      <c r="Q75" t="s">
        <v>21</v>
      </c>
    </row>
    <row r="76" spans="1:17" x14ac:dyDescent="0.25">
      <c r="A76" t="s">
        <v>332</v>
      </c>
      <c r="B76" t="s">
        <v>333</v>
      </c>
      <c r="C76" t="s">
        <v>334</v>
      </c>
      <c r="D76" s="8">
        <v>46177</v>
      </c>
      <c r="E76" t="s">
        <v>113</v>
      </c>
      <c r="F76" t="s">
        <v>31</v>
      </c>
      <c r="G76" t="s">
        <v>31</v>
      </c>
      <c r="H76" t="s">
        <v>143</v>
      </c>
      <c r="I76" t="s">
        <v>177</v>
      </c>
      <c r="J76" t="s">
        <v>20</v>
      </c>
      <c r="K76">
        <v>4</v>
      </c>
      <c r="L76">
        <v>1369815</v>
      </c>
      <c r="M76">
        <v>0</v>
      </c>
      <c r="N76" t="s">
        <v>148</v>
      </c>
      <c r="O76" t="s">
        <v>149</v>
      </c>
      <c r="P76" t="s">
        <v>156</v>
      </c>
      <c r="Q76" t="s">
        <v>1318</v>
      </c>
    </row>
    <row r="77" spans="1:17" x14ac:dyDescent="0.25">
      <c r="A77" t="s">
        <v>335</v>
      </c>
      <c r="B77" t="s">
        <v>336</v>
      </c>
      <c r="C77" t="s">
        <v>337</v>
      </c>
      <c r="D77" s="8">
        <v>46193</v>
      </c>
      <c r="E77" t="s">
        <v>113</v>
      </c>
      <c r="F77" t="s">
        <v>34</v>
      </c>
      <c r="G77" t="s">
        <v>34</v>
      </c>
      <c r="H77" t="s">
        <v>1315</v>
      </c>
      <c r="I77" t="s">
        <v>147</v>
      </c>
      <c r="J77" t="s">
        <v>32</v>
      </c>
      <c r="K77">
        <v>4</v>
      </c>
      <c r="L77">
        <v>2323100</v>
      </c>
      <c r="M77">
        <v>25000</v>
      </c>
      <c r="N77" t="s">
        <v>148</v>
      </c>
      <c r="O77" t="s">
        <v>138</v>
      </c>
      <c r="P77" t="s">
        <v>156</v>
      </c>
      <c r="Q77" t="s">
        <v>21</v>
      </c>
    </row>
    <row r="78" spans="1:17" x14ac:dyDescent="0.25">
      <c r="A78" t="s">
        <v>338</v>
      </c>
      <c r="B78" t="s">
        <v>339</v>
      </c>
      <c r="C78" t="s">
        <v>340</v>
      </c>
      <c r="D78" s="8">
        <v>46131</v>
      </c>
      <c r="E78" t="s">
        <v>117</v>
      </c>
      <c r="F78" t="s">
        <v>31</v>
      </c>
      <c r="G78" t="s">
        <v>31</v>
      </c>
      <c r="H78" t="s">
        <v>28</v>
      </c>
      <c r="I78" t="s">
        <v>136</v>
      </c>
      <c r="J78" t="s">
        <v>35</v>
      </c>
      <c r="K78">
        <v>1</v>
      </c>
      <c r="L78">
        <v>1034393</v>
      </c>
      <c r="M78">
        <v>15000</v>
      </c>
      <c r="N78" t="s">
        <v>137</v>
      </c>
      <c r="O78" t="s">
        <v>149</v>
      </c>
      <c r="P78" t="s">
        <v>156</v>
      </c>
      <c r="Q78" t="s">
        <v>21</v>
      </c>
    </row>
    <row r="79" spans="1:17" x14ac:dyDescent="0.25">
      <c r="A79" t="s">
        <v>341</v>
      </c>
      <c r="B79" t="s">
        <v>342</v>
      </c>
      <c r="C79" t="s">
        <v>297</v>
      </c>
      <c r="D79" s="8">
        <v>46159</v>
      </c>
      <c r="E79" t="s">
        <v>26</v>
      </c>
      <c r="F79" t="s">
        <v>18</v>
      </c>
      <c r="G79" t="s">
        <v>18</v>
      </c>
      <c r="H79" t="s">
        <v>1315</v>
      </c>
      <c r="I79" t="s">
        <v>177</v>
      </c>
      <c r="J79" t="s">
        <v>25</v>
      </c>
      <c r="K79">
        <v>3</v>
      </c>
      <c r="L79">
        <v>1691626</v>
      </c>
      <c r="M79">
        <v>0</v>
      </c>
      <c r="N79" t="s">
        <v>137</v>
      </c>
      <c r="O79" t="s">
        <v>138</v>
      </c>
      <c r="P79" t="s">
        <v>139</v>
      </c>
      <c r="Q79" t="s">
        <v>1318</v>
      </c>
    </row>
    <row r="80" spans="1:17" x14ac:dyDescent="0.25">
      <c r="A80" t="s">
        <v>343</v>
      </c>
      <c r="B80" t="s">
        <v>344</v>
      </c>
      <c r="C80" t="s">
        <v>345</v>
      </c>
      <c r="D80" s="8">
        <v>46117</v>
      </c>
      <c r="E80" t="s">
        <v>117</v>
      </c>
      <c r="F80" t="s">
        <v>23</v>
      </c>
      <c r="G80" t="s">
        <v>23</v>
      </c>
      <c r="H80" t="s">
        <v>143</v>
      </c>
      <c r="I80" t="s">
        <v>136</v>
      </c>
      <c r="J80" t="s">
        <v>35</v>
      </c>
      <c r="K80">
        <v>6</v>
      </c>
      <c r="L80">
        <v>1412564</v>
      </c>
      <c r="M80">
        <v>0</v>
      </c>
      <c r="N80" t="s">
        <v>37</v>
      </c>
      <c r="O80" t="s">
        <v>149</v>
      </c>
      <c r="P80" t="s">
        <v>139</v>
      </c>
      <c r="Q80" t="s">
        <v>1318</v>
      </c>
    </row>
    <row r="81" spans="1:17" x14ac:dyDescent="0.25">
      <c r="A81" t="s">
        <v>346</v>
      </c>
      <c r="B81" t="s">
        <v>296</v>
      </c>
      <c r="C81" t="s">
        <v>297</v>
      </c>
      <c r="D81" s="8">
        <v>46186</v>
      </c>
      <c r="E81" t="s">
        <v>113</v>
      </c>
      <c r="F81" t="s">
        <v>31</v>
      </c>
      <c r="G81" t="s">
        <v>31</v>
      </c>
      <c r="H81" t="s">
        <v>1315</v>
      </c>
      <c r="I81" t="s">
        <v>136</v>
      </c>
      <c r="J81" t="s">
        <v>20</v>
      </c>
      <c r="K81">
        <v>5</v>
      </c>
      <c r="L81" t="s">
        <v>347</v>
      </c>
      <c r="M81">
        <v>0</v>
      </c>
      <c r="N81" t="s">
        <v>148</v>
      </c>
      <c r="O81" t="s">
        <v>165</v>
      </c>
      <c r="P81" t="s">
        <v>156</v>
      </c>
      <c r="Q81" t="s">
        <v>1318</v>
      </c>
    </row>
    <row r="82" spans="1:17" x14ac:dyDescent="0.25">
      <c r="A82" t="s">
        <v>348</v>
      </c>
      <c r="B82" t="s">
        <v>349</v>
      </c>
      <c r="C82" t="s">
        <v>350</v>
      </c>
      <c r="D82" s="8">
        <v>46076</v>
      </c>
      <c r="E82" t="s">
        <v>114</v>
      </c>
      <c r="F82" t="s">
        <v>31</v>
      </c>
      <c r="G82" t="s">
        <v>31</v>
      </c>
      <c r="H82" t="s">
        <v>160</v>
      </c>
      <c r="I82" t="s">
        <v>136</v>
      </c>
      <c r="J82" t="s">
        <v>20</v>
      </c>
      <c r="K82">
        <v>6</v>
      </c>
      <c r="L82">
        <v>792041</v>
      </c>
      <c r="M82">
        <v>35000</v>
      </c>
      <c r="N82" t="s">
        <v>137</v>
      </c>
      <c r="O82" t="s">
        <v>165</v>
      </c>
      <c r="P82" t="s">
        <v>139</v>
      </c>
      <c r="Q82" t="s">
        <v>21</v>
      </c>
    </row>
    <row r="83" spans="1:17" x14ac:dyDescent="0.25">
      <c r="A83" t="s">
        <v>351</v>
      </c>
      <c r="B83" t="s">
        <v>257</v>
      </c>
      <c r="C83" t="s">
        <v>258</v>
      </c>
      <c r="D83" s="8">
        <v>46128</v>
      </c>
      <c r="E83" t="s">
        <v>117</v>
      </c>
      <c r="F83" t="s">
        <v>34</v>
      </c>
      <c r="G83" t="s">
        <v>34</v>
      </c>
      <c r="H83" t="s">
        <v>160</v>
      </c>
      <c r="I83" t="s">
        <v>136</v>
      </c>
      <c r="J83" t="s">
        <v>32</v>
      </c>
      <c r="K83">
        <v>7</v>
      </c>
      <c r="L83">
        <v>1515538</v>
      </c>
      <c r="M83">
        <v>35000</v>
      </c>
      <c r="N83" t="s">
        <v>137</v>
      </c>
      <c r="O83" t="s">
        <v>161</v>
      </c>
      <c r="P83" t="s">
        <v>139</v>
      </c>
      <c r="Q83" t="s">
        <v>21</v>
      </c>
    </row>
    <row r="84" spans="1:17" x14ac:dyDescent="0.25">
      <c r="A84" t="s">
        <v>352</v>
      </c>
      <c r="B84" t="s">
        <v>353</v>
      </c>
      <c r="C84" t="s">
        <v>202</v>
      </c>
      <c r="D84" s="8">
        <v>46200</v>
      </c>
      <c r="E84" t="s">
        <v>113</v>
      </c>
      <c r="F84" t="s">
        <v>18</v>
      </c>
      <c r="G84" t="s">
        <v>18</v>
      </c>
      <c r="H84" t="s">
        <v>160</v>
      </c>
      <c r="I84" t="s">
        <v>39</v>
      </c>
      <c r="J84" t="s">
        <v>29</v>
      </c>
      <c r="K84">
        <v>6</v>
      </c>
      <c r="L84">
        <v>234717</v>
      </c>
      <c r="M84">
        <v>0</v>
      </c>
      <c r="N84" t="s">
        <v>137</v>
      </c>
      <c r="O84" t="s">
        <v>138</v>
      </c>
      <c r="P84" t="s">
        <v>139</v>
      </c>
      <c r="Q84" t="s">
        <v>1318</v>
      </c>
    </row>
    <row r="85" spans="1:17" x14ac:dyDescent="0.25">
      <c r="A85" t="s">
        <v>354</v>
      </c>
      <c r="B85" t="s">
        <v>333</v>
      </c>
      <c r="C85" t="s">
        <v>334</v>
      </c>
      <c r="D85" s="8">
        <v>25569</v>
      </c>
      <c r="E85" t="s">
        <v>116</v>
      </c>
      <c r="F85" t="s">
        <v>18</v>
      </c>
      <c r="G85" t="s">
        <v>18</v>
      </c>
      <c r="H85" t="s">
        <v>28</v>
      </c>
      <c r="I85" t="s">
        <v>136</v>
      </c>
      <c r="J85" t="s">
        <v>32</v>
      </c>
      <c r="K85">
        <v>2</v>
      </c>
      <c r="L85">
        <v>464906</v>
      </c>
      <c r="M85">
        <v>0</v>
      </c>
      <c r="N85" t="s">
        <v>137</v>
      </c>
      <c r="O85" t="s">
        <v>138</v>
      </c>
      <c r="P85" t="s">
        <v>139</v>
      </c>
      <c r="Q85" t="s">
        <v>1325</v>
      </c>
    </row>
    <row r="86" spans="1:17" x14ac:dyDescent="0.25">
      <c r="A86" t="s">
        <v>355</v>
      </c>
      <c r="B86" t="s">
        <v>356</v>
      </c>
      <c r="C86" t="s">
        <v>357</v>
      </c>
      <c r="D86" s="8">
        <v>46057</v>
      </c>
      <c r="E86" t="s">
        <v>114</v>
      </c>
      <c r="F86" t="s">
        <v>34</v>
      </c>
      <c r="G86" t="s">
        <v>34</v>
      </c>
      <c r="H86" t="s">
        <v>143</v>
      </c>
      <c r="I86" t="s">
        <v>173</v>
      </c>
      <c r="J86" t="s">
        <v>32</v>
      </c>
      <c r="K86">
        <v>6</v>
      </c>
      <c r="L86">
        <v>1213370</v>
      </c>
      <c r="M86">
        <v>15000</v>
      </c>
      <c r="N86" t="s">
        <v>137</v>
      </c>
      <c r="O86" t="s">
        <v>161</v>
      </c>
      <c r="P86" t="s">
        <v>139</v>
      </c>
      <c r="Q86" t="s">
        <v>21</v>
      </c>
    </row>
    <row r="87" spans="1:17" x14ac:dyDescent="0.25">
      <c r="A87" t="s">
        <v>358</v>
      </c>
      <c r="B87" t="s">
        <v>359</v>
      </c>
      <c r="C87" t="s">
        <v>146</v>
      </c>
      <c r="D87" s="8">
        <v>46123</v>
      </c>
      <c r="E87" t="s">
        <v>117</v>
      </c>
      <c r="F87" t="s">
        <v>27</v>
      </c>
      <c r="G87" t="s">
        <v>27</v>
      </c>
      <c r="H87" t="s">
        <v>143</v>
      </c>
      <c r="I87" t="s">
        <v>173</v>
      </c>
      <c r="J87" t="s">
        <v>32</v>
      </c>
      <c r="K87">
        <v>2</v>
      </c>
      <c r="L87">
        <v>1702594</v>
      </c>
      <c r="M87">
        <v>50000</v>
      </c>
      <c r="N87" t="s">
        <v>137</v>
      </c>
      <c r="O87" t="s">
        <v>161</v>
      </c>
      <c r="P87" t="s">
        <v>156</v>
      </c>
      <c r="Q87" t="s">
        <v>21</v>
      </c>
    </row>
    <row r="88" spans="1:17" x14ac:dyDescent="0.25">
      <c r="A88" t="s">
        <v>360</v>
      </c>
      <c r="B88" t="s">
        <v>233</v>
      </c>
      <c r="C88" t="s">
        <v>36</v>
      </c>
      <c r="D88" s="8">
        <v>46202</v>
      </c>
      <c r="E88" t="s">
        <v>113</v>
      </c>
      <c r="F88" t="s">
        <v>18</v>
      </c>
      <c r="G88" t="s">
        <v>18</v>
      </c>
      <c r="H88" t="s">
        <v>160</v>
      </c>
      <c r="I88" t="s">
        <v>136</v>
      </c>
      <c r="J88" t="s">
        <v>29</v>
      </c>
      <c r="K88">
        <v>4</v>
      </c>
      <c r="L88">
        <v>827813</v>
      </c>
      <c r="M88">
        <v>0</v>
      </c>
      <c r="N88" t="s">
        <v>137</v>
      </c>
      <c r="O88" t="s">
        <v>138</v>
      </c>
      <c r="P88" t="s">
        <v>156</v>
      </c>
      <c r="Q88" t="s">
        <v>1318</v>
      </c>
    </row>
    <row r="89" spans="1:17" x14ac:dyDescent="0.25">
      <c r="A89" t="s">
        <v>361</v>
      </c>
      <c r="B89" t="s">
        <v>276</v>
      </c>
      <c r="C89" t="s">
        <v>277</v>
      </c>
      <c r="D89" s="8">
        <v>46157</v>
      </c>
      <c r="E89" t="s">
        <v>26</v>
      </c>
      <c r="F89" t="s">
        <v>18</v>
      </c>
      <c r="G89" t="s">
        <v>18</v>
      </c>
      <c r="H89" t="s">
        <v>143</v>
      </c>
      <c r="I89" t="s">
        <v>136</v>
      </c>
      <c r="J89" t="s">
        <v>25</v>
      </c>
      <c r="K89">
        <v>7</v>
      </c>
      <c r="L89">
        <v>1945188</v>
      </c>
      <c r="M89">
        <v>35000</v>
      </c>
      <c r="N89" t="s">
        <v>137</v>
      </c>
      <c r="O89" t="s">
        <v>161</v>
      </c>
      <c r="P89" t="s">
        <v>139</v>
      </c>
      <c r="Q89" t="s">
        <v>21</v>
      </c>
    </row>
    <row r="90" spans="1:17" x14ac:dyDescent="0.25">
      <c r="A90" t="s">
        <v>362</v>
      </c>
      <c r="B90" t="s">
        <v>363</v>
      </c>
      <c r="C90" t="s">
        <v>195</v>
      </c>
      <c r="D90" s="8">
        <v>46056</v>
      </c>
      <c r="E90" t="s">
        <v>114</v>
      </c>
      <c r="F90" t="s">
        <v>18</v>
      </c>
      <c r="G90" t="s">
        <v>18</v>
      </c>
      <c r="H90" t="s">
        <v>28</v>
      </c>
      <c r="I90" t="s">
        <v>177</v>
      </c>
      <c r="J90" t="s">
        <v>32</v>
      </c>
      <c r="K90">
        <v>5</v>
      </c>
      <c r="L90">
        <v>1929039</v>
      </c>
      <c r="M90">
        <v>15000</v>
      </c>
      <c r="N90" t="s">
        <v>137</v>
      </c>
      <c r="O90" t="s">
        <v>165</v>
      </c>
      <c r="P90" t="s">
        <v>156</v>
      </c>
      <c r="Q90" t="s">
        <v>21</v>
      </c>
    </row>
    <row r="91" spans="1:17" x14ac:dyDescent="0.25">
      <c r="A91" t="s">
        <v>364</v>
      </c>
      <c r="B91" t="s">
        <v>365</v>
      </c>
      <c r="C91" t="s">
        <v>240</v>
      </c>
      <c r="D91" s="8">
        <v>46097</v>
      </c>
      <c r="E91" t="s">
        <v>115</v>
      </c>
      <c r="F91" t="s">
        <v>27</v>
      </c>
      <c r="G91" t="s">
        <v>27</v>
      </c>
      <c r="H91" t="s">
        <v>28</v>
      </c>
      <c r="I91" t="s">
        <v>173</v>
      </c>
      <c r="J91" t="s">
        <v>20</v>
      </c>
      <c r="K91">
        <v>5</v>
      </c>
      <c r="L91">
        <v>1218066</v>
      </c>
      <c r="M91">
        <v>15000</v>
      </c>
      <c r="N91" t="s">
        <v>137</v>
      </c>
      <c r="O91" t="s">
        <v>161</v>
      </c>
      <c r="P91" t="s">
        <v>139</v>
      </c>
      <c r="Q91" t="s">
        <v>21</v>
      </c>
    </row>
    <row r="92" spans="1:17" x14ac:dyDescent="0.25">
      <c r="A92" t="s">
        <v>366</v>
      </c>
      <c r="B92" t="s">
        <v>330</v>
      </c>
      <c r="C92" t="s">
        <v>331</v>
      </c>
      <c r="D92" s="8">
        <v>46105</v>
      </c>
      <c r="E92" t="s">
        <v>115</v>
      </c>
      <c r="F92" t="s">
        <v>27</v>
      </c>
      <c r="G92" t="s">
        <v>27</v>
      </c>
      <c r="H92" t="s">
        <v>1315</v>
      </c>
      <c r="I92" t="s">
        <v>173</v>
      </c>
      <c r="J92" t="s">
        <v>20</v>
      </c>
      <c r="K92">
        <v>6</v>
      </c>
      <c r="L92">
        <v>1787465</v>
      </c>
      <c r="M92">
        <v>15000</v>
      </c>
      <c r="N92" t="s">
        <v>137</v>
      </c>
      <c r="O92" t="s">
        <v>138</v>
      </c>
      <c r="P92" t="s">
        <v>156</v>
      </c>
      <c r="Q92" t="s">
        <v>21</v>
      </c>
    </row>
    <row r="93" spans="1:17" x14ac:dyDescent="0.25">
      <c r="A93" t="s">
        <v>367</v>
      </c>
      <c r="B93" t="s">
        <v>368</v>
      </c>
      <c r="C93" t="s">
        <v>36</v>
      </c>
      <c r="D93" s="8">
        <v>46108</v>
      </c>
      <c r="E93" t="s">
        <v>115</v>
      </c>
      <c r="F93" t="s">
        <v>27</v>
      </c>
      <c r="G93" t="s">
        <v>27</v>
      </c>
      <c r="H93" t="s">
        <v>160</v>
      </c>
      <c r="I93" t="s">
        <v>173</v>
      </c>
      <c r="J93" t="s">
        <v>25</v>
      </c>
      <c r="K93">
        <v>3</v>
      </c>
      <c r="L93">
        <v>1104996</v>
      </c>
      <c r="M93">
        <v>35000</v>
      </c>
      <c r="N93" t="s">
        <v>37</v>
      </c>
      <c r="O93" t="s">
        <v>149</v>
      </c>
      <c r="P93" t="s">
        <v>139</v>
      </c>
      <c r="Q93" t="s">
        <v>21</v>
      </c>
    </row>
    <row r="94" spans="1:17" x14ac:dyDescent="0.25">
      <c r="A94" t="s">
        <v>369</v>
      </c>
      <c r="B94" t="s">
        <v>370</v>
      </c>
      <c r="C94" t="s">
        <v>180</v>
      </c>
      <c r="D94" s="8">
        <v>46124</v>
      </c>
      <c r="E94" t="s">
        <v>117</v>
      </c>
      <c r="F94" t="s">
        <v>18</v>
      </c>
      <c r="G94" t="s">
        <v>18</v>
      </c>
      <c r="H94" t="s">
        <v>28</v>
      </c>
      <c r="I94" t="s">
        <v>136</v>
      </c>
      <c r="J94" t="s">
        <v>32</v>
      </c>
      <c r="K94">
        <v>5</v>
      </c>
      <c r="L94">
        <v>1675672</v>
      </c>
      <c r="M94">
        <v>15000</v>
      </c>
      <c r="N94" t="s">
        <v>137</v>
      </c>
      <c r="P94" t="s">
        <v>156</v>
      </c>
      <c r="Q94" t="s">
        <v>1321</v>
      </c>
    </row>
    <row r="95" spans="1:17" x14ac:dyDescent="0.25">
      <c r="A95" t="s">
        <v>371</v>
      </c>
      <c r="B95" t="s">
        <v>372</v>
      </c>
      <c r="C95" t="s">
        <v>198</v>
      </c>
      <c r="D95" s="8">
        <v>46104</v>
      </c>
      <c r="E95" t="s">
        <v>115</v>
      </c>
      <c r="F95" t="s">
        <v>18</v>
      </c>
      <c r="G95" t="s">
        <v>18</v>
      </c>
      <c r="H95" t="s">
        <v>28</v>
      </c>
      <c r="I95" t="s">
        <v>136</v>
      </c>
      <c r="J95" t="s">
        <v>25</v>
      </c>
      <c r="K95">
        <v>2</v>
      </c>
      <c r="L95">
        <v>2344758</v>
      </c>
      <c r="M95">
        <v>35000</v>
      </c>
      <c r="N95" t="s">
        <v>137</v>
      </c>
      <c r="O95" t="s">
        <v>161</v>
      </c>
      <c r="P95" t="s">
        <v>139</v>
      </c>
      <c r="Q95" t="s">
        <v>21</v>
      </c>
    </row>
    <row r="96" spans="1:17" x14ac:dyDescent="0.25">
      <c r="A96" t="s">
        <v>373</v>
      </c>
      <c r="B96" t="s">
        <v>374</v>
      </c>
      <c r="C96" t="s">
        <v>202</v>
      </c>
      <c r="D96" s="8">
        <v>46090</v>
      </c>
      <c r="E96" t="s">
        <v>115</v>
      </c>
      <c r="F96" t="s">
        <v>31</v>
      </c>
      <c r="G96" t="s">
        <v>31</v>
      </c>
      <c r="H96" t="s">
        <v>143</v>
      </c>
      <c r="I96" t="s">
        <v>147</v>
      </c>
      <c r="J96" t="s">
        <v>32</v>
      </c>
      <c r="K96">
        <v>3</v>
      </c>
      <c r="L96">
        <v>1226280</v>
      </c>
      <c r="M96">
        <v>50000</v>
      </c>
      <c r="N96" t="s">
        <v>137</v>
      </c>
      <c r="O96" t="s">
        <v>161</v>
      </c>
      <c r="P96" t="s">
        <v>156</v>
      </c>
      <c r="Q96" t="s">
        <v>21</v>
      </c>
    </row>
    <row r="97" spans="1:17" x14ac:dyDescent="0.25">
      <c r="A97" t="s">
        <v>375</v>
      </c>
      <c r="B97" t="s">
        <v>376</v>
      </c>
      <c r="C97" t="s">
        <v>261</v>
      </c>
      <c r="D97" s="8">
        <v>46061</v>
      </c>
      <c r="E97" t="s">
        <v>114</v>
      </c>
      <c r="F97" t="s">
        <v>31</v>
      </c>
      <c r="G97" t="s">
        <v>31</v>
      </c>
      <c r="H97" t="s">
        <v>28</v>
      </c>
      <c r="I97" t="s">
        <v>173</v>
      </c>
      <c r="J97" t="s">
        <v>32</v>
      </c>
      <c r="K97">
        <v>2</v>
      </c>
      <c r="L97">
        <v>348871</v>
      </c>
      <c r="M97">
        <v>15000</v>
      </c>
      <c r="N97" t="s">
        <v>137</v>
      </c>
      <c r="O97" t="s">
        <v>161</v>
      </c>
      <c r="P97" t="s">
        <v>156</v>
      </c>
      <c r="Q97" t="s">
        <v>21</v>
      </c>
    </row>
    <row r="98" spans="1:17" x14ac:dyDescent="0.25">
      <c r="A98" t="s">
        <v>377</v>
      </c>
      <c r="B98" t="s">
        <v>294</v>
      </c>
      <c r="C98" t="s">
        <v>223</v>
      </c>
      <c r="D98" s="8">
        <v>46114</v>
      </c>
      <c r="E98" t="s">
        <v>117</v>
      </c>
      <c r="F98" t="s">
        <v>18</v>
      </c>
      <c r="G98" t="s">
        <v>18</v>
      </c>
      <c r="H98" t="s">
        <v>160</v>
      </c>
      <c r="I98" t="s">
        <v>136</v>
      </c>
      <c r="J98" t="s">
        <v>20</v>
      </c>
      <c r="K98">
        <v>4</v>
      </c>
      <c r="L98">
        <v>2472394</v>
      </c>
      <c r="M98">
        <v>35000</v>
      </c>
      <c r="N98" t="s">
        <v>137</v>
      </c>
      <c r="O98" t="s">
        <v>165</v>
      </c>
      <c r="P98" t="s">
        <v>156</v>
      </c>
      <c r="Q98" t="s">
        <v>21</v>
      </c>
    </row>
    <row r="99" spans="1:17" x14ac:dyDescent="0.25">
      <c r="A99" t="s">
        <v>378</v>
      </c>
      <c r="B99" t="s">
        <v>379</v>
      </c>
      <c r="C99" t="s">
        <v>380</v>
      </c>
      <c r="D99" s="8">
        <v>46095</v>
      </c>
      <c r="E99" t="s">
        <v>115</v>
      </c>
      <c r="F99" t="s">
        <v>27</v>
      </c>
      <c r="G99" t="s">
        <v>27</v>
      </c>
      <c r="H99" t="s">
        <v>143</v>
      </c>
      <c r="I99" t="s">
        <v>147</v>
      </c>
      <c r="J99" t="s">
        <v>20</v>
      </c>
      <c r="K99">
        <v>6</v>
      </c>
      <c r="L99">
        <v>877721</v>
      </c>
      <c r="M99">
        <v>15000</v>
      </c>
      <c r="N99" t="s">
        <v>137</v>
      </c>
      <c r="O99" t="s">
        <v>161</v>
      </c>
      <c r="P99" t="s">
        <v>156</v>
      </c>
      <c r="Q99" t="s">
        <v>21</v>
      </c>
    </row>
    <row r="100" spans="1:17" x14ac:dyDescent="0.25">
      <c r="A100" t="s">
        <v>381</v>
      </c>
      <c r="B100" t="s">
        <v>382</v>
      </c>
      <c r="C100" t="s">
        <v>383</v>
      </c>
      <c r="D100" s="8">
        <v>46042</v>
      </c>
      <c r="E100" t="s">
        <v>116</v>
      </c>
      <c r="F100" t="s">
        <v>34</v>
      </c>
      <c r="G100" t="s">
        <v>34</v>
      </c>
      <c r="H100" t="s">
        <v>160</v>
      </c>
      <c r="I100" t="s">
        <v>39</v>
      </c>
      <c r="J100" t="s">
        <v>25</v>
      </c>
      <c r="K100">
        <v>6</v>
      </c>
      <c r="L100">
        <v>1152459</v>
      </c>
      <c r="M100">
        <v>35000</v>
      </c>
      <c r="N100" t="s">
        <v>137</v>
      </c>
      <c r="O100" t="s">
        <v>161</v>
      </c>
      <c r="P100" t="s">
        <v>156</v>
      </c>
      <c r="Q100" t="s">
        <v>21</v>
      </c>
    </row>
    <row r="101" spans="1:17" x14ac:dyDescent="0.25">
      <c r="A101" t="s">
        <v>384</v>
      </c>
      <c r="B101" t="s">
        <v>385</v>
      </c>
      <c r="C101" t="s">
        <v>176</v>
      </c>
      <c r="D101" s="8">
        <v>46105</v>
      </c>
      <c r="E101" t="s">
        <v>115</v>
      </c>
      <c r="F101" t="s">
        <v>31</v>
      </c>
      <c r="G101" t="s">
        <v>31</v>
      </c>
      <c r="H101" t="s">
        <v>28</v>
      </c>
      <c r="I101" t="s">
        <v>169</v>
      </c>
      <c r="J101" t="s">
        <v>25</v>
      </c>
      <c r="K101">
        <v>1</v>
      </c>
      <c r="L101">
        <v>764981</v>
      </c>
      <c r="M101">
        <v>0</v>
      </c>
      <c r="N101" t="s">
        <v>137</v>
      </c>
      <c r="O101" t="s">
        <v>138</v>
      </c>
      <c r="P101" t="s">
        <v>156</v>
      </c>
      <c r="Q101" t="s">
        <v>1318</v>
      </c>
    </row>
    <row r="102" spans="1:17" x14ac:dyDescent="0.25">
      <c r="A102" t="s">
        <v>386</v>
      </c>
      <c r="B102" t="s">
        <v>387</v>
      </c>
      <c r="C102" t="s">
        <v>301</v>
      </c>
      <c r="D102" s="8">
        <v>46034</v>
      </c>
      <c r="E102" t="s">
        <v>116</v>
      </c>
      <c r="F102" t="s">
        <v>18</v>
      </c>
      <c r="G102" t="s">
        <v>18</v>
      </c>
      <c r="H102" t="s">
        <v>143</v>
      </c>
      <c r="I102" t="s">
        <v>173</v>
      </c>
      <c r="J102" t="s">
        <v>25</v>
      </c>
      <c r="K102">
        <v>6</v>
      </c>
      <c r="L102">
        <v>2020447</v>
      </c>
      <c r="M102">
        <v>25000</v>
      </c>
      <c r="N102" t="s">
        <v>37</v>
      </c>
      <c r="O102" t="s">
        <v>149</v>
      </c>
      <c r="P102" t="s">
        <v>139</v>
      </c>
      <c r="Q102" t="s">
        <v>21</v>
      </c>
    </row>
    <row r="103" spans="1:17" x14ac:dyDescent="0.25">
      <c r="A103" t="s">
        <v>388</v>
      </c>
      <c r="B103" t="s">
        <v>389</v>
      </c>
      <c r="C103" t="s">
        <v>146</v>
      </c>
      <c r="D103" s="8">
        <v>46037</v>
      </c>
      <c r="E103" t="s">
        <v>116</v>
      </c>
      <c r="F103" t="s">
        <v>18</v>
      </c>
      <c r="G103" t="s">
        <v>18</v>
      </c>
      <c r="H103" t="s">
        <v>143</v>
      </c>
      <c r="I103" t="s">
        <v>39</v>
      </c>
      <c r="J103" t="s">
        <v>20</v>
      </c>
      <c r="L103">
        <v>416638</v>
      </c>
      <c r="M103">
        <v>50000</v>
      </c>
      <c r="N103" t="s">
        <v>137</v>
      </c>
      <c r="O103" t="s">
        <v>390</v>
      </c>
      <c r="P103" t="s">
        <v>156</v>
      </c>
      <c r="Q103" t="s">
        <v>1319</v>
      </c>
    </row>
    <row r="104" spans="1:17" x14ac:dyDescent="0.25">
      <c r="A104" t="s">
        <v>391</v>
      </c>
      <c r="B104" t="s">
        <v>392</v>
      </c>
      <c r="C104" t="s">
        <v>183</v>
      </c>
      <c r="D104" s="8">
        <v>46076</v>
      </c>
      <c r="E104" t="s">
        <v>114</v>
      </c>
      <c r="F104" t="s">
        <v>18</v>
      </c>
      <c r="G104" t="s">
        <v>18</v>
      </c>
      <c r="H104" t="s">
        <v>160</v>
      </c>
      <c r="I104" t="s">
        <v>136</v>
      </c>
      <c r="J104" t="s">
        <v>32</v>
      </c>
      <c r="K104">
        <v>7</v>
      </c>
      <c r="L104">
        <v>803422</v>
      </c>
      <c r="M104">
        <v>35000</v>
      </c>
      <c r="N104" t="s">
        <v>137</v>
      </c>
      <c r="O104" t="s">
        <v>138</v>
      </c>
      <c r="P104" t="s">
        <v>139</v>
      </c>
      <c r="Q104" t="s">
        <v>21</v>
      </c>
    </row>
    <row r="105" spans="1:17" x14ac:dyDescent="0.25">
      <c r="A105" t="s">
        <v>393</v>
      </c>
      <c r="B105" t="s">
        <v>394</v>
      </c>
      <c r="C105" t="s">
        <v>337</v>
      </c>
      <c r="D105" s="8">
        <v>46102</v>
      </c>
      <c r="E105" t="s">
        <v>115</v>
      </c>
      <c r="F105" t="s">
        <v>18</v>
      </c>
      <c r="G105" t="s">
        <v>18</v>
      </c>
      <c r="H105" t="s">
        <v>28</v>
      </c>
      <c r="I105" t="s">
        <v>39</v>
      </c>
      <c r="J105" t="s">
        <v>32</v>
      </c>
      <c r="K105">
        <v>6</v>
      </c>
      <c r="L105">
        <v>670656</v>
      </c>
      <c r="M105">
        <v>25000</v>
      </c>
      <c r="N105" t="s">
        <v>137</v>
      </c>
      <c r="O105" t="s">
        <v>138</v>
      </c>
      <c r="P105" t="s">
        <v>139</v>
      </c>
      <c r="Q105" t="s">
        <v>21</v>
      </c>
    </row>
    <row r="106" spans="1:17" x14ac:dyDescent="0.25">
      <c r="A106" t="s">
        <v>395</v>
      </c>
      <c r="B106" t="s">
        <v>396</v>
      </c>
      <c r="C106" t="s">
        <v>246</v>
      </c>
      <c r="D106" s="8">
        <v>46167</v>
      </c>
      <c r="E106" t="s">
        <v>26</v>
      </c>
      <c r="F106" t="s">
        <v>18</v>
      </c>
      <c r="G106" t="s">
        <v>18</v>
      </c>
      <c r="H106" t="s">
        <v>28</v>
      </c>
      <c r="I106" t="s">
        <v>169</v>
      </c>
      <c r="J106" t="s">
        <v>32</v>
      </c>
      <c r="K106">
        <v>7</v>
      </c>
      <c r="L106">
        <v>1894486</v>
      </c>
      <c r="M106">
        <v>0</v>
      </c>
      <c r="N106" t="s">
        <v>137</v>
      </c>
      <c r="O106" t="s">
        <v>138</v>
      </c>
      <c r="P106" t="s">
        <v>156</v>
      </c>
      <c r="Q106" t="s">
        <v>1318</v>
      </c>
    </row>
    <row r="107" spans="1:17" x14ac:dyDescent="0.25">
      <c r="A107" t="s">
        <v>397</v>
      </c>
      <c r="B107" t="s">
        <v>398</v>
      </c>
      <c r="C107" t="s">
        <v>399</v>
      </c>
      <c r="D107" s="8">
        <v>46154</v>
      </c>
      <c r="E107" t="s">
        <v>26</v>
      </c>
      <c r="F107" t="s">
        <v>18</v>
      </c>
      <c r="G107" t="s">
        <v>18</v>
      </c>
      <c r="H107" t="s">
        <v>28</v>
      </c>
      <c r="I107" t="s">
        <v>147</v>
      </c>
      <c r="J107" t="s">
        <v>35</v>
      </c>
      <c r="K107">
        <v>6</v>
      </c>
      <c r="L107">
        <v>1553381</v>
      </c>
      <c r="M107">
        <v>35000</v>
      </c>
      <c r="N107" t="s">
        <v>137</v>
      </c>
      <c r="O107" t="s">
        <v>138</v>
      </c>
      <c r="P107" t="s">
        <v>156</v>
      </c>
      <c r="Q107" t="s">
        <v>21</v>
      </c>
    </row>
    <row r="108" spans="1:17" x14ac:dyDescent="0.25">
      <c r="A108" t="s">
        <v>400</v>
      </c>
      <c r="B108" t="s">
        <v>401</v>
      </c>
      <c r="C108" t="s">
        <v>189</v>
      </c>
      <c r="D108" s="8">
        <v>46142</v>
      </c>
      <c r="E108" t="s">
        <v>117</v>
      </c>
      <c r="F108" t="s">
        <v>18</v>
      </c>
      <c r="G108" t="s">
        <v>18</v>
      </c>
      <c r="H108" t="s">
        <v>1315</v>
      </c>
      <c r="I108" t="s">
        <v>177</v>
      </c>
      <c r="J108" t="s">
        <v>35</v>
      </c>
      <c r="K108">
        <v>7</v>
      </c>
      <c r="L108">
        <v>1954402</v>
      </c>
      <c r="M108">
        <v>0</v>
      </c>
      <c r="N108" t="s">
        <v>262</v>
      </c>
      <c r="O108" t="s">
        <v>161</v>
      </c>
      <c r="P108" t="s">
        <v>139</v>
      </c>
      <c r="Q108" t="s">
        <v>1318</v>
      </c>
    </row>
    <row r="109" spans="1:17" x14ac:dyDescent="0.25">
      <c r="A109" t="s">
        <v>402</v>
      </c>
      <c r="B109" t="s">
        <v>403</v>
      </c>
      <c r="C109" t="s">
        <v>404</v>
      </c>
      <c r="D109" s="8">
        <v>46168</v>
      </c>
      <c r="E109" t="s">
        <v>26</v>
      </c>
      <c r="F109" t="s">
        <v>27</v>
      </c>
      <c r="G109" t="s">
        <v>27</v>
      </c>
      <c r="H109" t="s">
        <v>28</v>
      </c>
      <c r="I109" t="s">
        <v>39</v>
      </c>
      <c r="J109" t="s">
        <v>20</v>
      </c>
      <c r="K109">
        <v>1</v>
      </c>
      <c r="L109">
        <v>320186</v>
      </c>
      <c r="M109">
        <v>50000</v>
      </c>
      <c r="N109" t="s">
        <v>43</v>
      </c>
      <c r="O109" t="s">
        <v>138</v>
      </c>
      <c r="P109" t="s">
        <v>139</v>
      </c>
      <c r="Q109" t="s">
        <v>38</v>
      </c>
    </row>
    <row r="110" spans="1:17" x14ac:dyDescent="0.25">
      <c r="A110" t="s">
        <v>405</v>
      </c>
      <c r="B110" t="s">
        <v>406</v>
      </c>
      <c r="C110" t="s">
        <v>328</v>
      </c>
      <c r="D110" s="8">
        <v>46168</v>
      </c>
      <c r="E110" t="s">
        <v>26</v>
      </c>
      <c r="F110" t="s">
        <v>23</v>
      </c>
      <c r="G110" t="s">
        <v>23</v>
      </c>
      <c r="H110" t="s">
        <v>160</v>
      </c>
      <c r="I110" t="s">
        <v>169</v>
      </c>
      <c r="J110" t="s">
        <v>32</v>
      </c>
      <c r="K110">
        <v>3</v>
      </c>
      <c r="L110">
        <v>1182754</v>
      </c>
      <c r="M110">
        <v>25000</v>
      </c>
      <c r="N110" t="s">
        <v>137</v>
      </c>
      <c r="O110" t="s">
        <v>407</v>
      </c>
      <c r="P110" t="s">
        <v>156</v>
      </c>
      <c r="Q110" t="s">
        <v>21</v>
      </c>
    </row>
    <row r="111" spans="1:17" x14ac:dyDescent="0.25">
      <c r="A111" t="s">
        <v>408</v>
      </c>
      <c r="B111" t="s">
        <v>171</v>
      </c>
      <c r="C111" t="s">
        <v>172</v>
      </c>
      <c r="D111" s="8">
        <v>46069</v>
      </c>
      <c r="E111" t="s">
        <v>114</v>
      </c>
      <c r="F111" t="s">
        <v>34</v>
      </c>
      <c r="G111" t="s">
        <v>34</v>
      </c>
      <c r="H111" t="s">
        <v>28</v>
      </c>
      <c r="I111" t="s">
        <v>169</v>
      </c>
      <c r="J111" t="s">
        <v>32</v>
      </c>
      <c r="K111">
        <v>1</v>
      </c>
      <c r="L111">
        <v>1768182</v>
      </c>
      <c r="M111">
        <v>0</v>
      </c>
      <c r="N111" t="s">
        <v>137</v>
      </c>
      <c r="O111" t="s">
        <v>138</v>
      </c>
      <c r="P111" t="s">
        <v>139</v>
      </c>
      <c r="Q111" t="s">
        <v>1318</v>
      </c>
    </row>
    <row r="112" spans="1:17" x14ac:dyDescent="0.25">
      <c r="A112" t="s">
        <v>409</v>
      </c>
      <c r="B112" t="s">
        <v>410</v>
      </c>
      <c r="C112" t="s">
        <v>411</v>
      </c>
      <c r="D112" s="8">
        <v>46070</v>
      </c>
      <c r="E112" t="s">
        <v>114</v>
      </c>
      <c r="F112" t="s">
        <v>23</v>
      </c>
      <c r="G112" t="s">
        <v>23</v>
      </c>
      <c r="H112" t="s">
        <v>28</v>
      </c>
      <c r="I112" t="s">
        <v>147</v>
      </c>
      <c r="J112" t="s">
        <v>20</v>
      </c>
      <c r="K112">
        <v>1</v>
      </c>
      <c r="L112">
        <v>1005284</v>
      </c>
      <c r="M112">
        <v>15000</v>
      </c>
      <c r="N112" t="s">
        <v>137</v>
      </c>
      <c r="O112" t="s">
        <v>138</v>
      </c>
      <c r="P112" t="s">
        <v>156</v>
      </c>
      <c r="Q112" t="s">
        <v>21</v>
      </c>
    </row>
    <row r="113" spans="1:17" x14ac:dyDescent="0.25">
      <c r="A113" t="s">
        <v>412</v>
      </c>
      <c r="B113" t="s">
        <v>413</v>
      </c>
      <c r="C113" t="s">
        <v>210</v>
      </c>
      <c r="D113" s="8">
        <v>46052</v>
      </c>
      <c r="E113" t="s">
        <v>116</v>
      </c>
      <c r="F113" t="s">
        <v>27</v>
      </c>
      <c r="G113" t="s">
        <v>27</v>
      </c>
      <c r="H113" t="s">
        <v>28</v>
      </c>
      <c r="I113" t="s">
        <v>136</v>
      </c>
      <c r="J113" t="s">
        <v>35</v>
      </c>
      <c r="K113">
        <v>6</v>
      </c>
      <c r="L113">
        <v>175803</v>
      </c>
      <c r="M113">
        <v>15000</v>
      </c>
      <c r="N113" t="s">
        <v>137</v>
      </c>
      <c r="O113" t="s">
        <v>138</v>
      </c>
      <c r="P113" t="s">
        <v>139</v>
      </c>
      <c r="Q113" t="s">
        <v>21</v>
      </c>
    </row>
    <row r="114" spans="1:17" x14ac:dyDescent="0.25">
      <c r="A114" t="s">
        <v>414</v>
      </c>
      <c r="B114" t="s">
        <v>209</v>
      </c>
      <c r="C114" t="s">
        <v>210</v>
      </c>
      <c r="D114" s="8">
        <v>46195</v>
      </c>
      <c r="E114" t="s">
        <v>113</v>
      </c>
      <c r="F114" t="s">
        <v>23</v>
      </c>
      <c r="G114" t="s">
        <v>23</v>
      </c>
      <c r="H114" t="s">
        <v>160</v>
      </c>
      <c r="I114" t="s">
        <v>169</v>
      </c>
      <c r="J114" t="s">
        <v>29</v>
      </c>
      <c r="K114">
        <v>1</v>
      </c>
      <c r="L114">
        <v>1776738</v>
      </c>
      <c r="M114">
        <v>25000</v>
      </c>
      <c r="N114" t="s">
        <v>137</v>
      </c>
      <c r="O114" t="s">
        <v>161</v>
      </c>
      <c r="P114" t="s">
        <v>156</v>
      </c>
      <c r="Q114" t="s">
        <v>21</v>
      </c>
    </row>
    <row r="115" spans="1:17" x14ac:dyDescent="0.25">
      <c r="A115" t="s">
        <v>415</v>
      </c>
      <c r="B115" t="s">
        <v>416</v>
      </c>
      <c r="C115" t="s">
        <v>350</v>
      </c>
      <c r="D115" s="8">
        <v>46146</v>
      </c>
      <c r="E115" t="s">
        <v>26</v>
      </c>
      <c r="F115" t="s">
        <v>119</v>
      </c>
      <c r="G115" t="s">
        <v>23</v>
      </c>
      <c r="H115" t="s">
        <v>1315</v>
      </c>
      <c r="I115" t="s">
        <v>39</v>
      </c>
      <c r="J115" t="s">
        <v>29</v>
      </c>
      <c r="K115">
        <v>4</v>
      </c>
      <c r="L115">
        <v>728820</v>
      </c>
      <c r="M115">
        <v>15000</v>
      </c>
      <c r="N115" t="s">
        <v>417</v>
      </c>
      <c r="O115" t="s">
        <v>165</v>
      </c>
      <c r="P115" t="s">
        <v>139</v>
      </c>
      <c r="Q115" t="s">
        <v>21</v>
      </c>
    </row>
    <row r="116" spans="1:17" x14ac:dyDescent="0.25">
      <c r="A116" t="s">
        <v>418</v>
      </c>
      <c r="B116" t="s">
        <v>255</v>
      </c>
      <c r="C116" t="s">
        <v>33</v>
      </c>
      <c r="D116" s="8">
        <v>46028</v>
      </c>
      <c r="E116" t="s">
        <v>116</v>
      </c>
      <c r="F116" t="s">
        <v>31</v>
      </c>
      <c r="G116" t="s">
        <v>31</v>
      </c>
      <c r="H116" t="s">
        <v>28</v>
      </c>
      <c r="I116" t="s">
        <v>173</v>
      </c>
      <c r="J116" t="s">
        <v>32</v>
      </c>
      <c r="K116">
        <v>2</v>
      </c>
      <c r="L116">
        <v>608463</v>
      </c>
      <c r="M116">
        <v>15000</v>
      </c>
      <c r="N116" t="s">
        <v>137</v>
      </c>
      <c r="O116" t="s">
        <v>138</v>
      </c>
      <c r="P116" t="s">
        <v>156</v>
      </c>
      <c r="Q116" t="s">
        <v>21</v>
      </c>
    </row>
    <row r="117" spans="1:17" x14ac:dyDescent="0.25">
      <c r="A117" t="s">
        <v>419</v>
      </c>
      <c r="B117" t="s">
        <v>316</v>
      </c>
      <c r="C117" t="s">
        <v>317</v>
      </c>
      <c r="D117" s="8">
        <v>46098</v>
      </c>
      <c r="E117" t="s">
        <v>115</v>
      </c>
      <c r="F117" t="s">
        <v>31</v>
      </c>
      <c r="G117" t="s">
        <v>31</v>
      </c>
      <c r="H117" t="s">
        <v>28</v>
      </c>
      <c r="I117" t="s">
        <v>39</v>
      </c>
      <c r="J117" t="s">
        <v>35</v>
      </c>
      <c r="K117">
        <v>3</v>
      </c>
      <c r="L117">
        <v>1763048</v>
      </c>
      <c r="M117">
        <v>0</v>
      </c>
      <c r="N117" t="s">
        <v>137</v>
      </c>
      <c r="O117" t="s">
        <v>138</v>
      </c>
      <c r="P117" t="s">
        <v>139</v>
      </c>
      <c r="Q117" t="s">
        <v>1318</v>
      </c>
    </row>
    <row r="118" spans="1:17" x14ac:dyDescent="0.25">
      <c r="A118" t="s">
        <v>420</v>
      </c>
      <c r="B118" t="s">
        <v>421</v>
      </c>
      <c r="C118" t="s">
        <v>340</v>
      </c>
      <c r="D118" s="8">
        <v>46147</v>
      </c>
      <c r="E118" t="s">
        <v>26</v>
      </c>
      <c r="F118" t="s">
        <v>31</v>
      </c>
      <c r="G118" t="s">
        <v>31</v>
      </c>
      <c r="H118" t="s">
        <v>143</v>
      </c>
      <c r="I118" t="s">
        <v>169</v>
      </c>
      <c r="J118" t="s">
        <v>20</v>
      </c>
      <c r="K118">
        <v>5</v>
      </c>
      <c r="L118">
        <v>1796380</v>
      </c>
      <c r="M118">
        <v>35000</v>
      </c>
      <c r="N118" t="s">
        <v>137</v>
      </c>
      <c r="O118" t="s">
        <v>138</v>
      </c>
      <c r="P118" t="s">
        <v>156</v>
      </c>
      <c r="Q118" t="s">
        <v>21</v>
      </c>
    </row>
    <row r="119" spans="1:17" x14ac:dyDescent="0.25">
      <c r="A119" t="s">
        <v>422</v>
      </c>
      <c r="B119" t="s">
        <v>255</v>
      </c>
      <c r="C119" t="s">
        <v>33</v>
      </c>
      <c r="D119" s="8">
        <v>46170</v>
      </c>
      <c r="E119" t="s">
        <v>26</v>
      </c>
      <c r="F119" t="s">
        <v>31</v>
      </c>
      <c r="G119" t="s">
        <v>31</v>
      </c>
      <c r="H119" t="s">
        <v>160</v>
      </c>
      <c r="I119" t="s">
        <v>39</v>
      </c>
      <c r="J119" t="s">
        <v>35</v>
      </c>
      <c r="K119">
        <v>1</v>
      </c>
      <c r="L119">
        <v>1444771</v>
      </c>
      <c r="M119">
        <v>50000</v>
      </c>
      <c r="N119" t="s">
        <v>137</v>
      </c>
      <c r="O119" t="s">
        <v>138</v>
      </c>
      <c r="P119" t="s">
        <v>139</v>
      </c>
      <c r="Q119" t="s">
        <v>21</v>
      </c>
    </row>
    <row r="120" spans="1:17" x14ac:dyDescent="0.25">
      <c r="A120" t="s">
        <v>423</v>
      </c>
      <c r="B120" t="s">
        <v>204</v>
      </c>
      <c r="C120" t="s">
        <v>205</v>
      </c>
      <c r="D120" s="8">
        <v>25569</v>
      </c>
      <c r="E120" t="s">
        <v>116</v>
      </c>
      <c r="F120" t="s">
        <v>34</v>
      </c>
      <c r="G120" t="s">
        <v>34</v>
      </c>
      <c r="H120" t="s">
        <v>28</v>
      </c>
      <c r="I120" t="s">
        <v>177</v>
      </c>
      <c r="J120" t="s">
        <v>35</v>
      </c>
      <c r="K120">
        <v>2</v>
      </c>
      <c r="L120">
        <v>1949681</v>
      </c>
      <c r="M120">
        <v>0</v>
      </c>
      <c r="N120" t="s">
        <v>137</v>
      </c>
      <c r="O120" t="s">
        <v>161</v>
      </c>
      <c r="P120" t="s">
        <v>156</v>
      </c>
      <c r="Q120" t="s">
        <v>1325</v>
      </c>
    </row>
    <row r="121" spans="1:17" x14ac:dyDescent="0.25">
      <c r="A121" t="s">
        <v>424</v>
      </c>
      <c r="B121" t="s">
        <v>305</v>
      </c>
      <c r="C121" t="s">
        <v>306</v>
      </c>
      <c r="D121" s="8">
        <v>46198</v>
      </c>
      <c r="E121" t="s">
        <v>113</v>
      </c>
      <c r="F121" t="s">
        <v>34</v>
      </c>
      <c r="G121" t="s">
        <v>34</v>
      </c>
      <c r="H121" t="s">
        <v>28</v>
      </c>
      <c r="I121" t="s">
        <v>39</v>
      </c>
      <c r="J121" t="s">
        <v>25</v>
      </c>
      <c r="K121">
        <v>7</v>
      </c>
      <c r="L121">
        <v>1542510</v>
      </c>
      <c r="M121">
        <v>50000</v>
      </c>
      <c r="N121" t="s">
        <v>148</v>
      </c>
      <c r="O121" t="s">
        <v>138</v>
      </c>
      <c r="P121" t="s">
        <v>139</v>
      </c>
      <c r="Q121" t="s">
        <v>21</v>
      </c>
    </row>
    <row r="122" spans="1:17" x14ac:dyDescent="0.25">
      <c r="A122" t="s">
        <v>425</v>
      </c>
      <c r="B122" t="s">
        <v>389</v>
      </c>
      <c r="C122" t="s">
        <v>146</v>
      </c>
      <c r="D122" s="8">
        <v>46064</v>
      </c>
      <c r="E122" t="s">
        <v>114</v>
      </c>
      <c r="F122" t="s">
        <v>18</v>
      </c>
      <c r="G122" t="s">
        <v>18</v>
      </c>
      <c r="H122" t="s">
        <v>143</v>
      </c>
      <c r="I122" t="s">
        <v>177</v>
      </c>
      <c r="J122" t="s">
        <v>29</v>
      </c>
      <c r="K122">
        <v>6</v>
      </c>
      <c r="L122" t="s">
        <v>426</v>
      </c>
      <c r="M122">
        <v>25000</v>
      </c>
      <c r="N122" t="s">
        <v>137</v>
      </c>
      <c r="O122" t="s">
        <v>138</v>
      </c>
      <c r="P122" t="s">
        <v>139</v>
      </c>
      <c r="Q122" t="s">
        <v>21</v>
      </c>
    </row>
    <row r="123" spans="1:17" x14ac:dyDescent="0.25">
      <c r="A123" t="s">
        <v>427</v>
      </c>
      <c r="B123" t="s">
        <v>286</v>
      </c>
      <c r="C123" t="s">
        <v>287</v>
      </c>
      <c r="D123" s="8">
        <v>46129</v>
      </c>
      <c r="E123" t="s">
        <v>117</v>
      </c>
      <c r="F123" t="s">
        <v>23</v>
      </c>
      <c r="G123" t="s">
        <v>23</v>
      </c>
      <c r="H123" t="s">
        <v>1315</v>
      </c>
      <c r="I123" t="s">
        <v>136</v>
      </c>
      <c r="J123" t="s">
        <v>25</v>
      </c>
      <c r="K123">
        <v>2</v>
      </c>
      <c r="L123">
        <v>2190833</v>
      </c>
      <c r="M123">
        <v>25000</v>
      </c>
      <c r="N123" t="s">
        <v>137</v>
      </c>
      <c r="O123" t="s">
        <v>161</v>
      </c>
      <c r="P123" t="s">
        <v>156</v>
      </c>
      <c r="Q123" t="s">
        <v>21</v>
      </c>
    </row>
    <row r="124" spans="1:17" x14ac:dyDescent="0.25">
      <c r="A124" t="s">
        <v>428</v>
      </c>
      <c r="B124" t="s">
        <v>429</v>
      </c>
      <c r="C124" t="s">
        <v>164</v>
      </c>
      <c r="D124" s="8">
        <v>46151</v>
      </c>
      <c r="E124" t="s">
        <v>26</v>
      </c>
      <c r="F124" t="s">
        <v>23</v>
      </c>
      <c r="G124" t="s">
        <v>23</v>
      </c>
      <c r="H124" t="s">
        <v>143</v>
      </c>
      <c r="I124" t="s">
        <v>39</v>
      </c>
      <c r="J124" t="s">
        <v>25</v>
      </c>
      <c r="K124">
        <v>3</v>
      </c>
      <c r="L124">
        <v>254091</v>
      </c>
      <c r="M124">
        <v>0</v>
      </c>
      <c r="N124" t="s">
        <v>137</v>
      </c>
      <c r="O124" t="s">
        <v>138</v>
      </c>
      <c r="P124" t="s">
        <v>139</v>
      </c>
      <c r="Q124" t="s">
        <v>1318</v>
      </c>
    </row>
    <row r="125" spans="1:17" x14ac:dyDescent="0.25">
      <c r="A125" t="s">
        <v>430</v>
      </c>
      <c r="B125" t="s">
        <v>431</v>
      </c>
      <c r="C125" t="s">
        <v>340</v>
      </c>
      <c r="D125" s="8">
        <v>46113</v>
      </c>
      <c r="E125" t="s">
        <v>117</v>
      </c>
      <c r="F125" t="s">
        <v>27</v>
      </c>
      <c r="G125" t="s">
        <v>27</v>
      </c>
      <c r="H125" t="s">
        <v>160</v>
      </c>
      <c r="I125" t="s">
        <v>169</v>
      </c>
      <c r="J125" t="s">
        <v>20</v>
      </c>
      <c r="K125">
        <v>3</v>
      </c>
      <c r="L125">
        <v>315774</v>
      </c>
      <c r="M125">
        <v>50000</v>
      </c>
      <c r="N125" t="s">
        <v>148</v>
      </c>
      <c r="O125" t="s">
        <v>149</v>
      </c>
      <c r="P125" t="s">
        <v>139</v>
      </c>
      <c r="Q125" t="s">
        <v>21</v>
      </c>
    </row>
    <row r="126" spans="1:17" x14ac:dyDescent="0.25">
      <c r="A126" t="s">
        <v>432</v>
      </c>
      <c r="B126" t="s">
        <v>389</v>
      </c>
      <c r="C126" t="s">
        <v>146</v>
      </c>
      <c r="D126" s="8">
        <v>46140</v>
      </c>
      <c r="E126" t="s">
        <v>117</v>
      </c>
      <c r="F126" t="s">
        <v>23</v>
      </c>
      <c r="G126" t="s">
        <v>23</v>
      </c>
      <c r="H126" t="s">
        <v>160</v>
      </c>
      <c r="I126" t="s">
        <v>147</v>
      </c>
      <c r="J126" t="s">
        <v>20</v>
      </c>
      <c r="K126">
        <v>7</v>
      </c>
      <c r="L126">
        <v>585277</v>
      </c>
      <c r="M126">
        <v>0</v>
      </c>
      <c r="N126" t="s">
        <v>137</v>
      </c>
      <c r="O126" t="s">
        <v>165</v>
      </c>
      <c r="P126" t="s">
        <v>156</v>
      </c>
      <c r="Q126" t="s">
        <v>1318</v>
      </c>
    </row>
    <row r="127" spans="1:17" x14ac:dyDescent="0.25">
      <c r="A127" t="s">
        <v>433</v>
      </c>
      <c r="B127" t="s">
        <v>434</v>
      </c>
      <c r="C127" t="s">
        <v>435</v>
      </c>
      <c r="D127" s="8">
        <v>46053</v>
      </c>
      <c r="E127" t="s">
        <v>116</v>
      </c>
      <c r="F127" t="s">
        <v>27</v>
      </c>
      <c r="G127" t="s">
        <v>27</v>
      </c>
      <c r="H127" t="s">
        <v>28</v>
      </c>
      <c r="I127" t="s">
        <v>169</v>
      </c>
      <c r="J127" t="s">
        <v>20</v>
      </c>
      <c r="K127">
        <v>2</v>
      </c>
      <c r="L127">
        <v>981452</v>
      </c>
      <c r="M127">
        <v>25000</v>
      </c>
      <c r="N127" t="s">
        <v>137</v>
      </c>
      <c r="O127" t="s">
        <v>138</v>
      </c>
      <c r="P127" t="s">
        <v>156</v>
      </c>
      <c r="Q127" t="s">
        <v>21</v>
      </c>
    </row>
    <row r="128" spans="1:17" x14ac:dyDescent="0.25">
      <c r="A128" t="s">
        <v>436</v>
      </c>
      <c r="B128" t="s">
        <v>437</v>
      </c>
      <c r="C128" t="s">
        <v>759</v>
      </c>
      <c r="D128" s="8">
        <v>46116</v>
      </c>
      <c r="E128" t="s">
        <v>117</v>
      </c>
      <c r="F128" t="s">
        <v>23</v>
      </c>
      <c r="G128" t="s">
        <v>23</v>
      </c>
      <c r="H128" t="s">
        <v>143</v>
      </c>
      <c r="I128" t="s">
        <v>39</v>
      </c>
      <c r="J128" t="s">
        <v>25</v>
      </c>
      <c r="K128">
        <v>1</v>
      </c>
      <c r="L128">
        <v>1523445</v>
      </c>
      <c r="M128">
        <v>15000</v>
      </c>
      <c r="N128" t="s">
        <v>148</v>
      </c>
      <c r="O128" t="s">
        <v>165</v>
      </c>
      <c r="P128" t="s">
        <v>139</v>
      </c>
      <c r="Q128" t="s">
        <v>21</v>
      </c>
    </row>
    <row r="129" spans="1:17" x14ac:dyDescent="0.25">
      <c r="A129" t="s">
        <v>438</v>
      </c>
      <c r="B129" t="s">
        <v>264</v>
      </c>
      <c r="C129" t="s">
        <v>265</v>
      </c>
      <c r="D129" s="8">
        <v>46066</v>
      </c>
      <c r="E129" t="s">
        <v>114</v>
      </c>
      <c r="F129" t="s">
        <v>18</v>
      </c>
      <c r="G129" t="s">
        <v>18</v>
      </c>
      <c r="H129" t="s">
        <v>143</v>
      </c>
      <c r="I129" t="s">
        <v>147</v>
      </c>
      <c r="J129" t="s">
        <v>32</v>
      </c>
      <c r="K129">
        <v>3</v>
      </c>
      <c r="L129">
        <v>477496</v>
      </c>
      <c r="M129">
        <v>25000</v>
      </c>
      <c r="N129" t="s">
        <v>137</v>
      </c>
      <c r="O129" t="s">
        <v>138</v>
      </c>
      <c r="P129" t="s">
        <v>156</v>
      </c>
      <c r="Q129" t="s">
        <v>21</v>
      </c>
    </row>
    <row r="130" spans="1:17" x14ac:dyDescent="0.25">
      <c r="A130" t="s">
        <v>439</v>
      </c>
      <c r="B130" t="s">
        <v>440</v>
      </c>
      <c r="C130" t="s">
        <v>441</v>
      </c>
      <c r="D130" s="8">
        <v>46132</v>
      </c>
      <c r="E130" t="s">
        <v>117</v>
      </c>
      <c r="F130" t="s">
        <v>23</v>
      </c>
      <c r="G130" t="s">
        <v>23</v>
      </c>
      <c r="H130" t="s">
        <v>28</v>
      </c>
      <c r="I130" t="s">
        <v>177</v>
      </c>
      <c r="J130" t="s">
        <v>20</v>
      </c>
      <c r="K130">
        <v>4</v>
      </c>
      <c r="L130">
        <v>1853964</v>
      </c>
      <c r="M130">
        <v>35000</v>
      </c>
      <c r="N130" t="s">
        <v>37</v>
      </c>
      <c r="O130" t="s">
        <v>165</v>
      </c>
      <c r="P130" t="s">
        <v>156</v>
      </c>
      <c r="Q130" t="s">
        <v>21</v>
      </c>
    </row>
    <row r="131" spans="1:17" x14ac:dyDescent="0.25">
      <c r="A131" t="s">
        <v>442</v>
      </c>
      <c r="B131" t="s">
        <v>443</v>
      </c>
      <c r="C131" t="s">
        <v>246</v>
      </c>
      <c r="D131" s="8">
        <v>46109</v>
      </c>
      <c r="E131" t="s">
        <v>115</v>
      </c>
      <c r="F131" t="s">
        <v>23</v>
      </c>
      <c r="G131" t="s">
        <v>23</v>
      </c>
      <c r="H131" t="s">
        <v>143</v>
      </c>
      <c r="I131" t="s">
        <v>147</v>
      </c>
      <c r="J131" t="s">
        <v>20</v>
      </c>
      <c r="K131">
        <v>7</v>
      </c>
      <c r="L131">
        <v>1440386</v>
      </c>
      <c r="M131">
        <v>35000</v>
      </c>
      <c r="N131" t="s">
        <v>137</v>
      </c>
      <c r="O131" t="s">
        <v>161</v>
      </c>
      <c r="P131" t="s">
        <v>139</v>
      </c>
      <c r="Q131" t="s">
        <v>21</v>
      </c>
    </row>
    <row r="132" spans="1:17" x14ac:dyDescent="0.25">
      <c r="A132" t="s">
        <v>444</v>
      </c>
      <c r="B132" t="s">
        <v>445</v>
      </c>
      <c r="C132" t="s">
        <v>446</v>
      </c>
      <c r="D132" s="8">
        <v>46125</v>
      </c>
      <c r="E132" t="s">
        <v>117</v>
      </c>
      <c r="F132" t="s">
        <v>23</v>
      </c>
      <c r="G132" t="s">
        <v>23</v>
      </c>
      <c r="H132" t="s">
        <v>1315</v>
      </c>
      <c r="I132" t="s">
        <v>147</v>
      </c>
      <c r="J132" t="s">
        <v>35</v>
      </c>
      <c r="K132">
        <v>6</v>
      </c>
      <c r="L132">
        <v>2442010</v>
      </c>
      <c r="M132">
        <v>25000</v>
      </c>
      <c r="N132" t="s">
        <v>137</v>
      </c>
      <c r="O132" t="s">
        <v>165</v>
      </c>
      <c r="P132" t="s">
        <v>156</v>
      </c>
      <c r="Q132" t="s">
        <v>21</v>
      </c>
    </row>
    <row r="133" spans="1:17" x14ac:dyDescent="0.25">
      <c r="A133" t="s">
        <v>447</v>
      </c>
      <c r="B133" t="s">
        <v>448</v>
      </c>
      <c r="C133" t="s">
        <v>449</v>
      </c>
      <c r="D133" s="8">
        <v>46126</v>
      </c>
      <c r="E133" t="s">
        <v>117</v>
      </c>
      <c r="F133" t="s">
        <v>31</v>
      </c>
      <c r="G133" t="s">
        <v>31</v>
      </c>
      <c r="H133" t="s">
        <v>1315</v>
      </c>
      <c r="I133" t="s">
        <v>169</v>
      </c>
      <c r="J133" t="s">
        <v>32</v>
      </c>
      <c r="K133">
        <v>5</v>
      </c>
      <c r="M133">
        <v>15000</v>
      </c>
      <c r="N133" t="s">
        <v>137</v>
      </c>
      <c r="O133" t="s">
        <v>138</v>
      </c>
      <c r="P133" t="s">
        <v>156</v>
      </c>
      <c r="Q133" t="s">
        <v>1317</v>
      </c>
    </row>
    <row r="134" spans="1:17" x14ac:dyDescent="0.25">
      <c r="A134" t="s">
        <v>450</v>
      </c>
      <c r="B134" t="s">
        <v>451</v>
      </c>
      <c r="C134" t="s">
        <v>452</v>
      </c>
      <c r="D134" s="8">
        <v>46100</v>
      </c>
      <c r="E134" t="s">
        <v>115</v>
      </c>
      <c r="F134" t="s">
        <v>18</v>
      </c>
      <c r="G134" t="s">
        <v>18</v>
      </c>
      <c r="H134" t="s">
        <v>1315</v>
      </c>
      <c r="I134" t="s">
        <v>177</v>
      </c>
      <c r="J134" t="s">
        <v>20</v>
      </c>
      <c r="K134">
        <v>5</v>
      </c>
      <c r="L134">
        <v>473499</v>
      </c>
      <c r="M134">
        <v>0</v>
      </c>
      <c r="N134" t="s">
        <v>137</v>
      </c>
      <c r="O134" t="s">
        <v>138</v>
      </c>
      <c r="P134" t="s">
        <v>139</v>
      </c>
      <c r="Q134" t="s">
        <v>1318</v>
      </c>
    </row>
    <row r="135" spans="1:17" x14ac:dyDescent="0.25">
      <c r="A135" t="s">
        <v>453</v>
      </c>
      <c r="B135" t="s">
        <v>336</v>
      </c>
      <c r="C135" t="s">
        <v>337</v>
      </c>
      <c r="D135" s="8">
        <v>46110</v>
      </c>
      <c r="E135" t="s">
        <v>115</v>
      </c>
      <c r="F135" t="s">
        <v>34</v>
      </c>
      <c r="G135" t="s">
        <v>34</v>
      </c>
      <c r="H135" t="s">
        <v>28</v>
      </c>
      <c r="I135" t="s">
        <v>147</v>
      </c>
      <c r="J135" t="s">
        <v>20</v>
      </c>
      <c r="K135">
        <v>1</v>
      </c>
      <c r="L135">
        <v>791203</v>
      </c>
      <c r="M135">
        <v>0</v>
      </c>
      <c r="N135" t="s">
        <v>148</v>
      </c>
      <c r="O135" t="s">
        <v>138</v>
      </c>
      <c r="P135" t="s">
        <v>156</v>
      </c>
      <c r="Q135" t="s">
        <v>1318</v>
      </c>
    </row>
    <row r="136" spans="1:17" x14ac:dyDescent="0.25">
      <c r="A136" t="s">
        <v>454</v>
      </c>
      <c r="B136" t="s">
        <v>455</v>
      </c>
      <c r="C136" t="s">
        <v>456</v>
      </c>
      <c r="D136" s="8">
        <v>46118</v>
      </c>
      <c r="E136" t="s">
        <v>117</v>
      </c>
      <c r="F136" t="s">
        <v>23</v>
      </c>
      <c r="G136" t="s">
        <v>23</v>
      </c>
      <c r="H136" t="s">
        <v>28</v>
      </c>
      <c r="I136" t="s">
        <v>136</v>
      </c>
      <c r="J136" t="s">
        <v>35</v>
      </c>
      <c r="K136">
        <v>3</v>
      </c>
      <c r="L136">
        <v>1209497</v>
      </c>
      <c r="M136">
        <v>50000</v>
      </c>
      <c r="N136" t="s">
        <v>137</v>
      </c>
      <c r="O136" t="s">
        <v>138</v>
      </c>
      <c r="P136" t="s">
        <v>156</v>
      </c>
      <c r="Q136" t="s">
        <v>21</v>
      </c>
    </row>
    <row r="137" spans="1:17" x14ac:dyDescent="0.25">
      <c r="A137" t="s">
        <v>457</v>
      </c>
      <c r="B137" t="s">
        <v>353</v>
      </c>
      <c r="C137" t="s">
        <v>202</v>
      </c>
      <c r="D137" s="8">
        <v>46109</v>
      </c>
      <c r="E137" t="s">
        <v>115</v>
      </c>
      <c r="F137" t="s">
        <v>27</v>
      </c>
      <c r="G137" t="s">
        <v>27</v>
      </c>
      <c r="H137" t="s">
        <v>143</v>
      </c>
      <c r="I137" t="s">
        <v>136</v>
      </c>
      <c r="J137" t="s">
        <v>25</v>
      </c>
      <c r="K137">
        <v>5</v>
      </c>
      <c r="L137">
        <v>1110263</v>
      </c>
      <c r="M137">
        <v>50000</v>
      </c>
      <c r="N137" t="s">
        <v>137</v>
      </c>
      <c r="O137" t="s">
        <v>149</v>
      </c>
      <c r="P137" t="s">
        <v>139</v>
      </c>
      <c r="Q137" t="s">
        <v>21</v>
      </c>
    </row>
    <row r="138" spans="1:17" x14ac:dyDescent="0.25">
      <c r="A138" t="s">
        <v>458</v>
      </c>
      <c r="B138" t="s">
        <v>459</v>
      </c>
      <c r="C138" t="s">
        <v>317</v>
      </c>
      <c r="D138" s="8">
        <v>46169</v>
      </c>
      <c r="E138" t="s">
        <v>26</v>
      </c>
      <c r="F138" t="s">
        <v>27</v>
      </c>
      <c r="G138" t="s">
        <v>27</v>
      </c>
      <c r="H138" t="s">
        <v>143</v>
      </c>
      <c r="I138" t="s">
        <v>136</v>
      </c>
      <c r="J138" t="s">
        <v>32</v>
      </c>
      <c r="K138">
        <v>5</v>
      </c>
      <c r="L138">
        <v>707082</v>
      </c>
      <c r="M138">
        <v>35000</v>
      </c>
      <c r="N138" t="s">
        <v>137</v>
      </c>
      <c r="O138" t="s">
        <v>161</v>
      </c>
      <c r="P138" t="s">
        <v>156</v>
      </c>
      <c r="Q138" t="s">
        <v>21</v>
      </c>
    </row>
    <row r="139" spans="1:17" x14ac:dyDescent="0.25">
      <c r="A139" t="s">
        <v>460</v>
      </c>
      <c r="B139" t="s">
        <v>219</v>
      </c>
      <c r="C139" t="s">
        <v>220</v>
      </c>
      <c r="D139" s="8">
        <v>46131</v>
      </c>
      <c r="E139" t="s">
        <v>117</v>
      </c>
      <c r="F139" t="s">
        <v>31</v>
      </c>
      <c r="G139" t="s">
        <v>31</v>
      </c>
      <c r="H139" t="s">
        <v>143</v>
      </c>
      <c r="I139" t="s">
        <v>39</v>
      </c>
      <c r="J139" t="s">
        <v>20</v>
      </c>
      <c r="K139">
        <v>1</v>
      </c>
      <c r="L139">
        <v>1848275</v>
      </c>
      <c r="M139">
        <v>0</v>
      </c>
      <c r="N139" t="s">
        <v>137</v>
      </c>
      <c r="O139" t="s">
        <v>165</v>
      </c>
      <c r="P139" t="s">
        <v>139</v>
      </c>
      <c r="Q139" t="s">
        <v>1318</v>
      </c>
    </row>
    <row r="140" spans="1:17" x14ac:dyDescent="0.25">
      <c r="A140" t="s">
        <v>461</v>
      </c>
      <c r="B140" t="s">
        <v>462</v>
      </c>
      <c r="C140" t="s">
        <v>202</v>
      </c>
      <c r="D140" s="8">
        <v>46157</v>
      </c>
      <c r="E140" t="s">
        <v>26</v>
      </c>
      <c r="F140" t="s">
        <v>34</v>
      </c>
      <c r="G140" t="s">
        <v>34</v>
      </c>
      <c r="H140" t="s">
        <v>28</v>
      </c>
      <c r="I140" t="s">
        <v>169</v>
      </c>
      <c r="J140" t="s">
        <v>32</v>
      </c>
      <c r="K140">
        <v>5</v>
      </c>
      <c r="L140">
        <v>1809271</v>
      </c>
      <c r="M140">
        <v>50000</v>
      </c>
      <c r="N140" t="s">
        <v>137</v>
      </c>
      <c r="O140" t="s">
        <v>138</v>
      </c>
      <c r="P140" t="s">
        <v>139</v>
      </c>
      <c r="Q140" t="s">
        <v>21</v>
      </c>
    </row>
    <row r="141" spans="1:17" x14ac:dyDescent="0.25">
      <c r="A141" t="s">
        <v>463</v>
      </c>
      <c r="B141" t="s">
        <v>209</v>
      </c>
      <c r="C141" t="s">
        <v>210</v>
      </c>
      <c r="D141" s="8">
        <v>46148</v>
      </c>
      <c r="E141" t="s">
        <v>26</v>
      </c>
      <c r="F141" t="s">
        <v>31</v>
      </c>
      <c r="G141" t="s">
        <v>31</v>
      </c>
      <c r="H141" t="s">
        <v>143</v>
      </c>
      <c r="I141" t="s">
        <v>169</v>
      </c>
      <c r="J141" t="s">
        <v>35</v>
      </c>
      <c r="K141">
        <v>2</v>
      </c>
      <c r="L141">
        <v>1868699</v>
      </c>
      <c r="M141">
        <v>15000</v>
      </c>
      <c r="N141" t="s">
        <v>137</v>
      </c>
      <c r="O141" t="s">
        <v>138</v>
      </c>
      <c r="P141" t="s">
        <v>156</v>
      </c>
      <c r="Q141" t="s">
        <v>21</v>
      </c>
    </row>
    <row r="142" spans="1:17" x14ac:dyDescent="0.25">
      <c r="A142" t="s">
        <v>464</v>
      </c>
      <c r="B142" t="s">
        <v>279</v>
      </c>
      <c r="C142" t="s">
        <v>22</v>
      </c>
      <c r="D142" s="8">
        <v>46077</v>
      </c>
      <c r="E142" t="s">
        <v>114</v>
      </c>
      <c r="F142" t="s">
        <v>34</v>
      </c>
      <c r="G142" t="s">
        <v>34</v>
      </c>
      <c r="H142" t="s">
        <v>160</v>
      </c>
      <c r="I142" t="s">
        <v>147</v>
      </c>
      <c r="J142" t="s">
        <v>32</v>
      </c>
      <c r="K142">
        <v>1</v>
      </c>
      <c r="L142">
        <v>2030221</v>
      </c>
      <c r="M142">
        <v>35000</v>
      </c>
      <c r="N142" t="s">
        <v>137</v>
      </c>
      <c r="O142" t="s">
        <v>149</v>
      </c>
      <c r="P142" t="s">
        <v>156</v>
      </c>
      <c r="Q142" t="s">
        <v>21</v>
      </c>
    </row>
    <row r="143" spans="1:17" x14ac:dyDescent="0.25">
      <c r="A143" t="s">
        <v>465</v>
      </c>
      <c r="B143" t="s">
        <v>235</v>
      </c>
      <c r="C143" t="s">
        <v>142</v>
      </c>
      <c r="D143" s="8">
        <v>46117</v>
      </c>
      <c r="E143" t="s">
        <v>117</v>
      </c>
      <c r="F143" t="s">
        <v>34</v>
      </c>
      <c r="G143" t="s">
        <v>34</v>
      </c>
      <c r="H143" t="s">
        <v>1315</v>
      </c>
      <c r="I143" t="s">
        <v>136</v>
      </c>
      <c r="J143" t="s">
        <v>32</v>
      </c>
      <c r="K143">
        <v>5</v>
      </c>
      <c r="L143">
        <v>1334630</v>
      </c>
      <c r="M143">
        <v>0</v>
      </c>
      <c r="N143" t="s">
        <v>137</v>
      </c>
      <c r="O143" t="s">
        <v>138</v>
      </c>
      <c r="P143" t="s">
        <v>156</v>
      </c>
      <c r="Q143" t="s">
        <v>1318</v>
      </c>
    </row>
    <row r="144" spans="1:17" x14ac:dyDescent="0.25">
      <c r="A144" t="s">
        <v>466</v>
      </c>
      <c r="B144" t="s">
        <v>467</v>
      </c>
      <c r="C144" t="s">
        <v>198</v>
      </c>
      <c r="D144" s="8">
        <v>46059</v>
      </c>
      <c r="E144" t="s">
        <v>114</v>
      </c>
      <c r="F144" t="s">
        <v>34</v>
      </c>
      <c r="G144" t="s">
        <v>34</v>
      </c>
      <c r="H144" t="s">
        <v>143</v>
      </c>
      <c r="I144" t="s">
        <v>177</v>
      </c>
      <c r="J144" t="s">
        <v>32</v>
      </c>
      <c r="K144">
        <v>4</v>
      </c>
      <c r="L144">
        <v>716177</v>
      </c>
      <c r="M144">
        <v>50000</v>
      </c>
      <c r="N144" t="s">
        <v>137</v>
      </c>
      <c r="O144" t="s">
        <v>165</v>
      </c>
      <c r="P144" t="s">
        <v>156</v>
      </c>
      <c r="Q144" t="s">
        <v>21</v>
      </c>
    </row>
    <row r="145" spans="1:17" x14ac:dyDescent="0.25">
      <c r="A145" t="s">
        <v>468</v>
      </c>
      <c r="B145" t="s">
        <v>469</v>
      </c>
      <c r="C145" t="s">
        <v>281</v>
      </c>
      <c r="D145" s="8">
        <v>46163</v>
      </c>
      <c r="E145" t="s">
        <v>26</v>
      </c>
      <c r="F145" t="s">
        <v>34</v>
      </c>
      <c r="G145" t="s">
        <v>34</v>
      </c>
      <c r="H145" t="s">
        <v>28</v>
      </c>
      <c r="I145" t="s">
        <v>136</v>
      </c>
      <c r="J145" t="s">
        <v>32</v>
      </c>
      <c r="K145">
        <v>7</v>
      </c>
      <c r="L145">
        <v>1582339</v>
      </c>
      <c r="M145">
        <v>0</v>
      </c>
      <c r="N145" t="s">
        <v>137</v>
      </c>
      <c r="O145" t="s">
        <v>138</v>
      </c>
      <c r="P145" t="s">
        <v>139</v>
      </c>
      <c r="Q145" t="s">
        <v>1318</v>
      </c>
    </row>
    <row r="146" spans="1:17" x14ac:dyDescent="0.25">
      <c r="A146" t="s">
        <v>470</v>
      </c>
      <c r="B146" t="s">
        <v>269</v>
      </c>
      <c r="C146" t="s">
        <v>180</v>
      </c>
      <c r="D146" s="8">
        <v>46178</v>
      </c>
      <c r="E146" t="s">
        <v>113</v>
      </c>
      <c r="F146" t="s">
        <v>31</v>
      </c>
      <c r="G146" t="s">
        <v>31</v>
      </c>
      <c r="H146" t="s">
        <v>143</v>
      </c>
      <c r="I146" t="s">
        <v>169</v>
      </c>
      <c r="J146" t="s">
        <v>25</v>
      </c>
      <c r="K146">
        <v>5</v>
      </c>
      <c r="L146">
        <v>677043</v>
      </c>
      <c r="M146">
        <v>15000</v>
      </c>
      <c r="N146" t="s">
        <v>137</v>
      </c>
      <c r="O146" t="s">
        <v>138</v>
      </c>
      <c r="P146" t="s">
        <v>156</v>
      </c>
      <c r="Q146" t="s">
        <v>21</v>
      </c>
    </row>
    <row r="147" spans="1:17" x14ac:dyDescent="0.25">
      <c r="A147" t="s">
        <v>471</v>
      </c>
      <c r="B147" t="s">
        <v>389</v>
      </c>
      <c r="C147" t="s">
        <v>146</v>
      </c>
      <c r="D147" s="8">
        <v>46182</v>
      </c>
      <c r="E147" t="s">
        <v>113</v>
      </c>
      <c r="F147" t="s">
        <v>23</v>
      </c>
      <c r="G147" t="s">
        <v>23</v>
      </c>
      <c r="H147" t="s">
        <v>28</v>
      </c>
      <c r="I147" t="s">
        <v>169</v>
      </c>
      <c r="J147" t="s">
        <v>25</v>
      </c>
      <c r="K147">
        <v>2</v>
      </c>
      <c r="L147">
        <v>1838105</v>
      </c>
      <c r="M147">
        <v>35000</v>
      </c>
      <c r="N147" t="s">
        <v>43</v>
      </c>
      <c r="O147" t="s">
        <v>161</v>
      </c>
      <c r="P147" t="s">
        <v>156</v>
      </c>
      <c r="Q147" t="s">
        <v>38</v>
      </c>
    </row>
    <row r="148" spans="1:17" x14ac:dyDescent="0.25">
      <c r="A148" t="s">
        <v>472</v>
      </c>
      <c r="B148" t="s">
        <v>473</v>
      </c>
      <c r="C148" t="s">
        <v>320</v>
      </c>
      <c r="D148" s="8">
        <v>46065</v>
      </c>
      <c r="E148" t="s">
        <v>114</v>
      </c>
      <c r="F148" t="s">
        <v>23</v>
      </c>
      <c r="G148" t="s">
        <v>23</v>
      </c>
      <c r="H148" t="s">
        <v>160</v>
      </c>
      <c r="I148" t="s">
        <v>177</v>
      </c>
      <c r="J148" t="s">
        <v>35</v>
      </c>
      <c r="K148">
        <v>6</v>
      </c>
      <c r="L148">
        <v>224035</v>
      </c>
      <c r="M148">
        <v>50000</v>
      </c>
      <c r="N148" t="s">
        <v>148</v>
      </c>
      <c r="O148" t="s">
        <v>165</v>
      </c>
      <c r="P148" t="s">
        <v>156</v>
      </c>
      <c r="Q148" t="s">
        <v>21</v>
      </c>
    </row>
    <row r="149" spans="1:17" x14ac:dyDescent="0.25">
      <c r="A149" t="s">
        <v>474</v>
      </c>
      <c r="B149" t="s">
        <v>475</v>
      </c>
      <c r="C149" t="s">
        <v>213</v>
      </c>
      <c r="D149" s="8">
        <v>46156</v>
      </c>
      <c r="E149" t="s">
        <v>26</v>
      </c>
      <c r="F149" t="s">
        <v>18</v>
      </c>
      <c r="G149" t="s">
        <v>18</v>
      </c>
      <c r="H149" t="s">
        <v>160</v>
      </c>
      <c r="I149" t="s">
        <v>136</v>
      </c>
      <c r="J149" t="s">
        <v>29</v>
      </c>
      <c r="K149">
        <v>5</v>
      </c>
      <c r="L149">
        <v>914383</v>
      </c>
      <c r="M149">
        <v>35000</v>
      </c>
      <c r="N149" t="s">
        <v>148</v>
      </c>
      <c r="O149" t="s">
        <v>149</v>
      </c>
      <c r="P149" t="s">
        <v>156</v>
      </c>
      <c r="Q149" t="s">
        <v>21</v>
      </c>
    </row>
    <row r="150" spans="1:17" x14ac:dyDescent="0.25">
      <c r="A150" t="s">
        <v>476</v>
      </c>
      <c r="B150" t="s">
        <v>477</v>
      </c>
      <c r="C150" t="s">
        <v>231</v>
      </c>
      <c r="D150" s="8">
        <v>46203</v>
      </c>
      <c r="E150" t="s">
        <v>113</v>
      </c>
      <c r="F150" t="s">
        <v>27</v>
      </c>
      <c r="G150" t="s">
        <v>27</v>
      </c>
      <c r="H150" t="s">
        <v>160</v>
      </c>
      <c r="I150" t="s">
        <v>39</v>
      </c>
      <c r="J150" t="s">
        <v>20</v>
      </c>
      <c r="K150">
        <v>7</v>
      </c>
      <c r="L150">
        <v>1983233</v>
      </c>
      <c r="M150">
        <v>0</v>
      </c>
      <c r="N150" t="s">
        <v>137</v>
      </c>
      <c r="O150" t="s">
        <v>161</v>
      </c>
      <c r="P150" t="s">
        <v>139</v>
      </c>
      <c r="Q150" t="s">
        <v>1318</v>
      </c>
    </row>
    <row r="151" spans="1:17" x14ac:dyDescent="0.25">
      <c r="A151" t="s">
        <v>478</v>
      </c>
      <c r="B151" t="s">
        <v>479</v>
      </c>
      <c r="C151" t="s">
        <v>164</v>
      </c>
      <c r="D151" s="8">
        <v>46069</v>
      </c>
      <c r="E151" t="s">
        <v>114</v>
      </c>
      <c r="F151" t="s">
        <v>23</v>
      </c>
      <c r="G151" t="s">
        <v>23</v>
      </c>
      <c r="H151" t="s">
        <v>160</v>
      </c>
      <c r="I151" t="s">
        <v>173</v>
      </c>
      <c r="J151" t="s">
        <v>35</v>
      </c>
      <c r="K151">
        <v>7</v>
      </c>
      <c r="L151">
        <v>1860369</v>
      </c>
      <c r="M151">
        <v>0</v>
      </c>
      <c r="N151" t="s">
        <v>137</v>
      </c>
      <c r="O151" t="s">
        <v>138</v>
      </c>
      <c r="P151" t="s">
        <v>156</v>
      </c>
      <c r="Q151" t="s">
        <v>1318</v>
      </c>
    </row>
    <row r="152" spans="1:17" x14ac:dyDescent="0.25">
      <c r="A152" t="s">
        <v>480</v>
      </c>
      <c r="B152" t="s">
        <v>481</v>
      </c>
      <c r="C152" t="s">
        <v>272</v>
      </c>
      <c r="D152" s="8">
        <v>46059</v>
      </c>
      <c r="E152" t="s">
        <v>114</v>
      </c>
      <c r="F152" t="s">
        <v>31</v>
      </c>
      <c r="G152" t="s">
        <v>31</v>
      </c>
      <c r="H152" t="s">
        <v>143</v>
      </c>
      <c r="I152" t="s">
        <v>173</v>
      </c>
      <c r="J152" t="s">
        <v>35</v>
      </c>
      <c r="K152">
        <v>7</v>
      </c>
      <c r="L152">
        <v>886169</v>
      </c>
      <c r="M152">
        <v>25000</v>
      </c>
      <c r="N152" t="s">
        <v>137</v>
      </c>
      <c r="O152" t="s">
        <v>161</v>
      </c>
      <c r="P152" t="s">
        <v>139</v>
      </c>
      <c r="Q152" t="s">
        <v>21</v>
      </c>
    </row>
    <row r="153" spans="1:17" x14ac:dyDescent="0.25">
      <c r="A153" t="s">
        <v>482</v>
      </c>
      <c r="B153" t="s">
        <v>359</v>
      </c>
      <c r="C153" t="s">
        <v>146</v>
      </c>
      <c r="D153" s="8">
        <v>46029</v>
      </c>
      <c r="E153" t="s">
        <v>116</v>
      </c>
      <c r="F153" t="s">
        <v>34</v>
      </c>
      <c r="G153" t="s">
        <v>34</v>
      </c>
      <c r="H153" t="s">
        <v>1315</v>
      </c>
      <c r="I153" t="s">
        <v>39</v>
      </c>
      <c r="J153" t="s">
        <v>20</v>
      </c>
      <c r="K153">
        <v>4</v>
      </c>
      <c r="L153">
        <v>365374</v>
      </c>
      <c r="M153">
        <v>25000</v>
      </c>
      <c r="N153" t="s">
        <v>137</v>
      </c>
      <c r="O153" t="s">
        <v>199</v>
      </c>
      <c r="P153" t="s">
        <v>156</v>
      </c>
      <c r="Q153" t="s">
        <v>21</v>
      </c>
    </row>
    <row r="154" spans="1:17" x14ac:dyDescent="0.25">
      <c r="A154" t="s">
        <v>483</v>
      </c>
      <c r="B154" t="s">
        <v>316</v>
      </c>
      <c r="C154" t="s">
        <v>317</v>
      </c>
      <c r="D154" s="8">
        <v>46084</v>
      </c>
      <c r="E154" t="s">
        <v>115</v>
      </c>
      <c r="F154" t="s">
        <v>23</v>
      </c>
      <c r="G154" t="s">
        <v>23</v>
      </c>
      <c r="H154" t="s">
        <v>1315</v>
      </c>
      <c r="I154" t="s">
        <v>173</v>
      </c>
      <c r="J154" t="s">
        <v>25</v>
      </c>
      <c r="K154">
        <v>5</v>
      </c>
      <c r="L154">
        <v>1111915</v>
      </c>
      <c r="M154">
        <v>35000</v>
      </c>
      <c r="N154" t="s">
        <v>137</v>
      </c>
      <c r="O154" t="s">
        <v>138</v>
      </c>
      <c r="P154" t="s">
        <v>139</v>
      </c>
      <c r="Q154" t="s">
        <v>21</v>
      </c>
    </row>
    <row r="155" spans="1:17" x14ac:dyDescent="0.25">
      <c r="A155" t="s">
        <v>484</v>
      </c>
      <c r="B155" t="s">
        <v>230</v>
      </c>
      <c r="C155" t="s">
        <v>231</v>
      </c>
      <c r="D155" s="8">
        <v>46127</v>
      </c>
      <c r="E155" t="s">
        <v>117</v>
      </c>
      <c r="F155" t="s">
        <v>23</v>
      </c>
      <c r="G155" t="s">
        <v>23</v>
      </c>
      <c r="H155" t="s">
        <v>1315</v>
      </c>
      <c r="I155" t="s">
        <v>147</v>
      </c>
      <c r="J155" t="s">
        <v>35</v>
      </c>
      <c r="K155">
        <v>1</v>
      </c>
      <c r="L155">
        <v>394551</v>
      </c>
      <c r="M155">
        <v>35000</v>
      </c>
      <c r="N155" t="s">
        <v>137</v>
      </c>
      <c r="O155" t="s">
        <v>161</v>
      </c>
      <c r="P155" t="s">
        <v>156</v>
      </c>
      <c r="Q155" t="s">
        <v>21</v>
      </c>
    </row>
    <row r="156" spans="1:17" x14ac:dyDescent="0.25">
      <c r="A156" t="s">
        <v>485</v>
      </c>
      <c r="B156" t="s">
        <v>486</v>
      </c>
      <c r="C156" t="s">
        <v>172</v>
      </c>
      <c r="D156" s="8">
        <v>46165</v>
      </c>
      <c r="E156" t="s">
        <v>26</v>
      </c>
      <c r="F156" t="s">
        <v>27</v>
      </c>
      <c r="G156" t="s">
        <v>27</v>
      </c>
      <c r="H156" t="s">
        <v>143</v>
      </c>
      <c r="I156" t="s">
        <v>177</v>
      </c>
      <c r="J156" t="s">
        <v>25</v>
      </c>
      <c r="K156">
        <v>5</v>
      </c>
      <c r="L156">
        <v>646684</v>
      </c>
      <c r="M156">
        <v>25000</v>
      </c>
      <c r="N156" t="s">
        <v>137</v>
      </c>
      <c r="O156" t="s">
        <v>161</v>
      </c>
      <c r="P156" t="s">
        <v>156</v>
      </c>
      <c r="Q156" t="s">
        <v>21</v>
      </c>
    </row>
    <row r="157" spans="1:17" x14ac:dyDescent="0.25">
      <c r="A157" t="s">
        <v>487</v>
      </c>
      <c r="B157" t="s">
        <v>431</v>
      </c>
      <c r="C157" t="s">
        <v>340</v>
      </c>
      <c r="D157" s="8">
        <v>46085</v>
      </c>
      <c r="E157" t="s">
        <v>115</v>
      </c>
      <c r="F157" t="s">
        <v>31</v>
      </c>
      <c r="G157" t="s">
        <v>31</v>
      </c>
      <c r="H157" t="s">
        <v>1315</v>
      </c>
      <c r="I157" t="s">
        <v>169</v>
      </c>
      <c r="J157" t="s">
        <v>29</v>
      </c>
      <c r="K157">
        <v>5</v>
      </c>
      <c r="L157">
        <v>2374587</v>
      </c>
      <c r="M157">
        <v>35000</v>
      </c>
      <c r="N157" t="s">
        <v>137</v>
      </c>
      <c r="O157" t="s">
        <v>161</v>
      </c>
      <c r="P157" t="s">
        <v>156</v>
      </c>
      <c r="Q157" t="s">
        <v>21</v>
      </c>
    </row>
    <row r="158" spans="1:17" x14ac:dyDescent="0.25">
      <c r="A158" t="s">
        <v>488</v>
      </c>
      <c r="B158" t="s">
        <v>489</v>
      </c>
      <c r="C158" t="s">
        <v>452</v>
      </c>
      <c r="D158" s="8">
        <v>46146</v>
      </c>
      <c r="E158" t="s">
        <v>26</v>
      </c>
      <c r="F158" t="s">
        <v>18</v>
      </c>
      <c r="G158" t="s">
        <v>18</v>
      </c>
      <c r="H158" t="s">
        <v>1315</v>
      </c>
      <c r="I158" t="s">
        <v>173</v>
      </c>
      <c r="J158" t="s">
        <v>29</v>
      </c>
      <c r="K158">
        <v>3</v>
      </c>
      <c r="L158">
        <v>1266315</v>
      </c>
      <c r="M158">
        <v>50000</v>
      </c>
      <c r="N158" t="s">
        <v>417</v>
      </c>
      <c r="O158" t="s">
        <v>165</v>
      </c>
      <c r="P158" t="s">
        <v>156</v>
      </c>
      <c r="Q158" t="s">
        <v>21</v>
      </c>
    </row>
    <row r="159" spans="1:17" x14ac:dyDescent="0.25">
      <c r="A159" t="s">
        <v>490</v>
      </c>
      <c r="B159" t="s">
        <v>349</v>
      </c>
      <c r="C159" t="s">
        <v>350</v>
      </c>
      <c r="D159" s="8">
        <v>46045</v>
      </c>
      <c r="E159" t="s">
        <v>116</v>
      </c>
      <c r="F159" t="s">
        <v>34</v>
      </c>
      <c r="G159" t="s">
        <v>34</v>
      </c>
      <c r="H159" t="s">
        <v>28</v>
      </c>
      <c r="I159" t="s">
        <v>177</v>
      </c>
      <c r="J159" t="s">
        <v>35</v>
      </c>
      <c r="K159">
        <v>7</v>
      </c>
      <c r="L159">
        <v>1778028</v>
      </c>
      <c r="M159">
        <v>0</v>
      </c>
      <c r="N159" t="s">
        <v>137</v>
      </c>
      <c r="O159" t="s">
        <v>138</v>
      </c>
      <c r="P159" t="s">
        <v>139</v>
      </c>
      <c r="Q159" t="s">
        <v>1318</v>
      </c>
    </row>
    <row r="160" spans="1:17" x14ac:dyDescent="0.25">
      <c r="A160" t="s">
        <v>491</v>
      </c>
      <c r="B160" t="s">
        <v>492</v>
      </c>
      <c r="C160" t="s">
        <v>146</v>
      </c>
      <c r="D160" s="8">
        <v>46197</v>
      </c>
      <c r="E160" t="s">
        <v>113</v>
      </c>
      <c r="F160" t="s">
        <v>34</v>
      </c>
      <c r="G160" t="s">
        <v>34</v>
      </c>
      <c r="H160" t="s">
        <v>1315</v>
      </c>
      <c r="I160" t="s">
        <v>177</v>
      </c>
      <c r="J160" t="s">
        <v>32</v>
      </c>
      <c r="K160">
        <v>7</v>
      </c>
      <c r="L160">
        <v>1557116</v>
      </c>
      <c r="M160">
        <v>25000</v>
      </c>
      <c r="N160" t="s">
        <v>137</v>
      </c>
      <c r="O160" t="s">
        <v>161</v>
      </c>
      <c r="P160" t="s">
        <v>139</v>
      </c>
      <c r="Q160" t="s">
        <v>21</v>
      </c>
    </row>
    <row r="161" spans="1:17" x14ac:dyDescent="0.25">
      <c r="A161" t="s">
        <v>493</v>
      </c>
      <c r="B161" t="s">
        <v>494</v>
      </c>
      <c r="C161" t="s">
        <v>495</v>
      </c>
      <c r="D161" s="8">
        <v>46200</v>
      </c>
      <c r="E161" t="s">
        <v>113</v>
      </c>
      <c r="F161" t="s">
        <v>18</v>
      </c>
      <c r="G161" t="s">
        <v>18</v>
      </c>
      <c r="H161" t="s">
        <v>28</v>
      </c>
      <c r="I161" t="s">
        <v>147</v>
      </c>
      <c r="J161" t="s">
        <v>32</v>
      </c>
      <c r="K161">
        <v>5</v>
      </c>
      <c r="L161">
        <v>680886</v>
      </c>
      <c r="M161">
        <v>0</v>
      </c>
      <c r="N161" t="s">
        <v>137</v>
      </c>
      <c r="O161" t="s">
        <v>165</v>
      </c>
      <c r="P161" t="s">
        <v>139</v>
      </c>
      <c r="Q161" t="s">
        <v>1318</v>
      </c>
    </row>
    <row r="162" spans="1:17" x14ac:dyDescent="0.25">
      <c r="A162" t="s">
        <v>496</v>
      </c>
      <c r="B162" t="s">
        <v>216</v>
      </c>
      <c r="C162" t="s">
        <v>217</v>
      </c>
      <c r="D162" s="8">
        <v>46043</v>
      </c>
      <c r="E162" t="s">
        <v>116</v>
      </c>
      <c r="F162" t="s">
        <v>23</v>
      </c>
      <c r="G162" t="s">
        <v>23</v>
      </c>
      <c r="H162" t="s">
        <v>1315</v>
      </c>
      <c r="I162" t="s">
        <v>39</v>
      </c>
      <c r="J162" t="s">
        <v>35</v>
      </c>
      <c r="K162">
        <v>1</v>
      </c>
      <c r="L162">
        <v>445155</v>
      </c>
      <c r="M162">
        <v>50000</v>
      </c>
      <c r="N162" t="s">
        <v>148</v>
      </c>
      <c r="O162" t="s">
        <v>165</v>
      </c>
      <c r="P162" t="s">
        <v>139</v>
      </c>
      <c r="Q162" t="s">
        <v>21</v>
      </c>
    </row>
    <row r="163" spans="1:17" x14ac:dyDescent="0.25">
      <c r="A163" t="s">
        <v>497</v>
      </c>
      <c r="B163" t="s">
        <v>498</v>
      </c>
      <c r="C163" t="s">
        <v>320</v>
      </c>
      <c r="D163" s="8">
        <v>46068</v>
      </c>
      <c r="E163" t="s">
        <v>114</v>
      </c>
      <c r="F163" t="s">
        <v>23</v>
      </c>
      <c r="G163" t="s">
        <v>23</v>
      </c>
      <c r="H163" t="s">
        <v>143</v>
      </c>
      <c r="I163" t="s">
        <v>169</v>
      </c>
      <c r="J163" t="s">
        <v>20</v>
      </c>
      <c r="K163">
        <v>4</v>
      </c>
      <c r="L163" t="s">
        <v>499</v>
      </c>
      <c r="M163">
        <v>0</v>
      </c>
      <c r="N163" t="s">
        <v>137</v>
      </c>
      <c r="O163" t="s">
        <v>161</v>
      </c>
      <c r="P163" t="s">
        <v>139</v>
      </c>
      <c r="Q163" t="s">
        <v>1318</v>
      </c>
    </row>
    <row r="164" spans="1:17" x14ac:dyDescent="0.25">
      <c r="A164" t="s">
        <v>500</v>
      </c>
      <c r="B164" t="s">
        <v>501</v>
      </c>
      <c r="C164" t="s">
        <v>502</v>
      </c>
      <c r="D164" s="8">
        <v>46114</v>
      </c>
      <c r="E164" t="s">
        <v>117</v>
      </c>
      <c r="F164" t="s">
        <v>18</v>
      </c>
      <c r="G164" t="s">
        <v>18</v>
      </c>
      <c r="H164" t="s">
        <v>143</v>
      </c>
      <c r="I164" t="s">
        <v>39</v>
      </c>
      <c r="J164" t="s">
        <v>25</v>
      </c>
      <c r="K164">
        <v>7</v>
      </c>
      <c r="L164">
        <v>923258</v>
      </c>
      <c r="M164">
        <v>0</v>
      </c>
      <c r="N164" t="s">
        <v>137</v>
      </c>
      <c r="O164" t="s">
        <v>503</v>
      </c>
      <c r="P164" t="s">
        <v>156</v>
      </c>
      <c r="Q164" t="s">
        <v>1318</v>
      </c>
    </row>
    <row r="165" spans="1:17" x14ac:dyDescent="0.25">
      <c r="A165" t="s">
        <v>504</v>
      </c>
      <c r="B165" t="s">
        <v>151</v>
      </c>
      <c r="C165" t="s">
        <v>152</v>
      </c>
      <c r="D165" s="8">
        <v>46149</v>
      </c>
      <c r="E165" t="s">
        <v>26</v>
      </c>
      <c r="F165" t="s">
        <v>34</v>
      </c>
      <c r="G165" t="s">
        <v>34</v>
      </c>
      <c r="H165" t="s">
        <v>28</v>
      </c>
      <c r="I165" t="s">
        <v>177</v>
      </c>
      <c r="J165" t="s">
        <v>35</v>
      </c>
      <c r="K165">
        <v>2</v>
      </c>
      <c r="L165">
        <v>996971</v>
      </c>
      <c r="M165">
        <v>0</v>
      </c>
      <c r="N165" t="s">
        <v>37</v>
      </c>
      <c r="O165" t="s">
        <v>138</v>
      </c>
      <c r="P165" t="s">
        <v>156</v>
      </c>
      <c r="Q165" t="s">
        <v>1318</v>
      </c>
    </row>
    <row r="166" spans="1:17" x14ac:dyDescent="0.25">
      <c r="A166" t="s">
        <v>505</v>
      </c>
      <c r="B166" t="s">
        <v>506</v>
      </c>
      <c r="C166" t="s">
        <v>189</v>
      </c>
      <c r="D166" s="8">
        <v>46167</v>
      </c>
      <c r="E166" t="s">
        <v>26</v>
      </c>
      <c r="F166" t="s">
        <v>18</v>
      </c>
      <c r="G166" t="s">
        <v>18</v>
      </c>
      <c r="H166" t="s">
        <v>1315</v>
      </c>
      <c r="I166" t="s">
        <v>147</v>
      </c>
      <c r="J166" t="s">
        <v>29</v>
      </c>
      <c r="K166">
        <v>1</v>
      </c>
      <c r="L166">
        <v>2490369</v>
      </c>
      <c r="M166">
        <v>15000</v>
      </c>
      <c r="N166" t="s">
        <v>137</v>
      </c>
      <c r="O166" t="s">
        <v>138</v>
      </c>
      <c r="P166" t="s">
        <v>139</v>
      </c>
      <c r="Q166" t="s">
        <v>21</v>
      </c>
    </row>
    <row r="167" spans="1:17" x14ac:dyDescent="0.25">
      <c r="A167" t="s">
        <v>507</v>
      </c>
      <c r="B167" t="s">
        <v>327</v>
      </c>
      <c r="C167" t="s">
        <v>328</v>
      </c>
      <c r="D167" s="8">
        <v>46196</v>
      </c>
      <c r="E167" t="s">
        <v>113</v>
      </c>
      <c r="F167" t="s">
        <v>31</v>
      </c>
      <c r="G167" t="s">
        <v>31</v>
      </c>
      <c r="H167" t="s">
        <v>160</v>
      </c>
      <c r="I167" t="s">
        <v>39</v>
      </c>
      <c r="J167" t="s">
        <v>20</v>
      </c>
      <c r="K167">
        <v>5</v>
      </c>
      <c r="L167">
        <v>216961</v>
      </c>
      <c r="M167">
        <v>50000</v>
      </c>
      <c r="N167" t="s">
        <v>137</v>
      </c>
      <c r="O167" t="s">
        <v>138</v>
      </c>
      <c r="P167" t="s">
        <v>139</v>
      </c>
      <c r="Q167" t="s">
        <v>21</v>
      </c>
    </row>
    <row r="168" spans="1:17" x14ac:dyDescent="0.25">
      <c r="A168" t="s">
        <v>508</v>
      </c>
      <c r="B168" t="s">
        <v>509</v>
      </c>
      <c r="C168" t="s">
        <v>297</v>
      </c>
      <c r="D168" s="8">
        <v>25569</v>
      </c>
      <c r="E168" t="s">
        <v>116</v>
      </c>
      <c r="F168" t="s">
        <v>27</v>
      </c>
      <c r="G168" t="s">
        <v>27</v>
      </c>
      <c r="H168" t="s">
        <v>160</v>
      </c>
      <c r="I168" t="s">
        <v>169</v>
      </c>
      <c r="J168" t="s">
        <v>29</v>
      </c>
      <c r="K168">
        <v>6</v>
      </c>
      <c r="L168">
        <v>1269388</v>
      </c>
      <c r="M168">
        <v>0</v>
      </c>
      <c r="N168" t="s">
        <v>137</v>
      </c>
      <c r="O168" t="s">
        <v>138</v>
      </c>
      <c r="P168" t="s">
        <v>156</v>
      </c>
      <c r="Q168" t="s">
        <v>1325</v>
      </c>
    </row>
    <row r="169" spans="1:17" x14ac:dyDescent="0.25">
      <c r="A169" t="s">
        <v>510</v>
      </c>
      <c r="B169" t="s">
        <v>151</v>
      </c>
      <c r="C169" t="s">
        <v>152</v>
      </c>
      <c r="D169" s="8">
        <v>46130</v>
      </c>
      <c r="E169" t="s">
        <v>117</v>
      </c>
      <c r="F169" t="s">
        <v>23</v>
      </c>
      <c r="G169" t="s">
        <v>23</v>
      </c>
      <c r="H169" t="s">
        <v>160</v>
      </c>
      <c r="I169" t="s">
        <v>169</v>
      </c>
      <c r="J169" t="s">
        <v>29</v>
      </c>
      <c r="K169">
        <v>3</v>
      </c>
      <c r="L169">
        <v>2353090</v>
      </c>
      <c r="M169">
        <v>35000</v>
      </c>
      <c r="N169" t="s">
        <v>262</v>
      </c>
      <c r="O169" t="s">
        <v>161</v>
      </c>
      <c r="P169" t="s">
        <v>139</v>
      </c>
      <c r="Q169" t="s">
        <v>21</v>
      </c>
    </row>
    <row r="170" spans="1:17" x14ac:dyDescent="0.25">
      <c r="A170" t="s">
        <v>511</v>
      </c>
      <c r="B170" t="s">
        <v>512</v>
      </c>
      <c r="C170" t="s">
        <v>246</v>
      </c>
      <c r="D170" s="8">
        <v>46086</v>
      </c>
      <c r="E170" t="s">
        <v>115</v>
      </c>
      <c r="F170" t="s">
        <v>23</v>
      </c>
      <c r="G170" t="s">
        <v>23</v>
      </c>
      <c r="H170" t="s">
        <v>160</v>
      </c>
      <c r="I170" t="s">
        <v>39</v>
      </c>
      <c r="J170" t="s">
        <v>32</v>
      </c>
      <c r="K170">
        <v>3</v>
      </c>
      <c r="L170">
        <v>945761</v>
      </c>
      <c r="M170">
        <v>15000</v>
      </c>
      <c r="N170" t="s">
        <v>137</v>
      </c>
      <c r="O170" t="s">
        <v>138</v>
      </c>
      <c r="P170" t="s">
        <v>156</v>
      </c>
      <c r="Q170" t="s">
        <v>21</v>
      </c>
    </row>
    <row r="171" spans="1:17" x14ac:dyDescent="0.25">
      <c r="A171" t="s">
        <v>513</v>
      </c>
      <c r="B171" t="s">
        <v>300</v>
      </c>
      <c r="C171" t="s">
        <v>301</v>
      </c>
      <c r="D171" s="8">
        <v>46183</v>
      </c>
      <c r="E171" t="s">
        <v>113</v>
      </c>
      <c r="F171" t="s">
        <v>34</v>
      </c>
      <c r="G171" t="s">
        <v>34</v>
      </c>
      <c r="H171" t="s">
        <v>160</v>
      </c>
      <c r="I171" t="s">
        <v>136</v>
      </c>
      <c r="J171" t="s">
        <v>35</v>
      </c>
      <c r="K171">
        <v>2</v>
      </c>
      <c r="L171">
        <v>1522166</v>
      </c>
      <c r="M171">
        <v>25000</v>
      </c>
      <c r="N171" t="s">
        <v>137</v>
      </c>
      <c r="O171" t="s">
        <v>161</v>
      </c>
      <c r="P171" t="s">
        <v>156</v>
      </c>
      <c r="Q171" t="s">
        <v>21</v>
      </c>
    </row>
    <row r="172" spans="1:17" x14ac:dyDescent="0.25">
      <c r="A172" t="s">
        <v>514</v>
      </c>
      <c r="B172" t="s">
        <v>515</v>
      </c>
      <c r="C172" t="s">
        <v>334</v>
      </c>
      <c r="D172" s="8">
        <v>46176</v>
      </c>
      <c r="E172" t="s">
        <v>113</v>
      </c>
      <c r="F172" t="s">
        <v>23</v>
      </c>
      <c r="G172" t="s">
        <v>23</v>
      </c>
      <c r="H172" t="s">
        <v>160</v>
      </c>
      <c r="I172" t="s">
        <v>39</v>
      </c>
      <c r="J172" t="s">
        <v>25</v>
      </c>
      <c r="K172">
        <v>6</v>
      </c>
      <c r="L172">
        <v>1959325</v>
      </c>
      <c r="M172">
        <v>0</v>
      </c>
      <c r="N172" t="s">
        <v>137</v>
      </c>
      <c r="O172" t="s">
        <v>161</v>
      </c>
      <c r="P172" t="s">
        <v>156</v>
      </c>
      <c r="Q172" t="s">
        <v>1318</v>
      </c>
    </row>
    <row r="173" spans="1:17" x14ac:dyDescent="0.25">
      <c r="A173" t="s">
        <v>516</v>
      </c>
      <c r="B173" t="s">
        <v>431</v>
      </c>
      <c r="C173" t="s">
        <v>340</v>
      </c>
      <c r="D173" s="8">
        <v>46055</v>
      </c>
      <c r="E173" t="s">
        <v>114</v>
      </c>
      <c r="F173" t="s">
        <v>23</v>
      </c>
      <c r="G173" t="s">
        <v>23</v>
      </c>
      <c r="H173" t="s">
        <v>160</v>
      </c>
      <c r="I173" t="s">
        <v>169</v>
      </c>
      <c r="J173" t="s">
        <v>20</v>
      </c>
      <c r="K173">
        <v>1</v>
      </c>
      <c r="L173">
        <v>380056</v>
      </c>
      <c r="M173">
        <v>35000</v>
      </c>
      <c r="N173" t="s">
        <v>137</v>
      </c>
      <c r="O173" t="s">
        <v>138</v>
      </c>
      <c r="P173" t="s">
        <v>156</v>
      </c>
      <c r="Q173" t="s">
        <v>21</v>
      </c>
    </row>
    <row r="174" spans="1:17" x14ac:dyDescent="0.25">
      <c r="A174" t="s">
        <v>517</v>
      </c>
      <c r="B174" t="s">
        <v>403</v>
      </c>
      <c r="C174" t="s">
        <v>404</v>
      </c>
      <c r="D174" s="8">
        <v>46120</v>
      </c>
      <c r="E174" t="s">
        <v>117</v>
      </c>
      <c r="F174" t="s">
        <v>27</v>
      </c>
      <c r="G174" t="s">
        <v>27</v>
      </c>
      <c r="H174" t="s">
        <v>160</v>
      </c>
      <c r="I174" t="s">
        <v>39</v>
      </c>
      <c r="J174" t="s">
        <v>32</v>
      </c>
      <c r="K174">
        <v>5</v>
      </c>
      <c r="L174">
        <v>1804780</v>
      </c>
      <c r="M174">
        <v>0</v>
      </c>
      <c r="N174" t="s">
        <v>137</v>
      </c>
      <c r="O174" t="s">
        <v>161</v>
      </c>
      <c r="P174" t="s">
        <v>139</v>
      </c>
      <c r="Q174" t="s">
        <v>1318</v>
      </c>
    </row>
    <row r="175" spans="1:17" x14ac:dyDescent="0.25">
      <c r="A175" t="s">
        <v>518</v>
      </c>
      <c r="B175" t="s">
        <v>519</v>
      </c>
      <c r="C175" t="s">
        <v>240</v>
      </c>
      <c r="D175" s="8">
        <v>46132</v>
      </c>
      <c r="E175" t="s">
        <v>117</v>
      </c>
      <c r="F175" t="s">
        <v>31</v>
      </c>
      <c r="G175" t="s">
        <v>31</v>
      </c>
      <c r="H175" t="s">
        <v>1315</v>
      </c>
      <c r="I175" t="s">
        <v>147</v>
      </c>
      <c r="J175" t="s">
        <v>29</v>
      </c>
      <c r="K175">
        <v>6</v>
      </c>
      <c r="L175">
        <v>544790</v>
      </c>
      <c r="M175">
        <v>25000</v>
      </c>
      <c r="N175" t="s">
        <v>43</v>
      </c>
      <c r="O175" t="s">
        <v>165</v>
      </c>
      <c r="P175" t="s">
        <v>156</v>
      </c>
      <c r="Q175" t="s">
        <v>21</v>
      </c>
    </row>
    <row r="176" spans="1:17" x14ac:dyDescent="0.25">
      <c r="A176" t="s">
        <v>520</v>
      </c>
      <c r="B176" t="s">
        <v>521</v>
      </c>
      <c r="C176" t="s">
        <v>142</v>
      </c>
      <c r="D176" s="8">
        <v>46026</v>
      </c>
      <c r="E176" t="s">
        <v>116</v>
      </c>
      <c r="F176" t="s">
        <v>27</v>
      </c>
      <c r="G176" t="s">
        <v>27</v>
      </c>
      <c r="H176" t="s">
        <v>1315</v>
      </c>
      <c r="I176" t="s">
        <v>136</v>
      </c>
      <c r="J176" t="s">
        <v>32</v>
      </c>
      <c r="K176">
        <v>7</v>
      </c>
      <c r="L176">
        <v>403302</v>
      </c>
      <c r="M176">
        <v>50000</v>
      </c>
      <c r="N176" t="s">
        <v>148</v>
      </c>
      <c r="O176" t="s">
        <v>138</v>
      </c>
      <c r="P176" t="s">
        <v>139</v>
      </c>
      <c r="Q176" t="s">
        <v>21</v>
      </c>
    </row>
    <row r="177" spans="1:17" x14ac:dyDescent="0.25">
      <c r="A177" t="s">
        <v>522</v>
      </c>
      <c r="B177" t="s">
        <v>267</v>
      </c>
      <c r="C177" t="s">
        <v>281</v>
      </c>
      <c r="D177" s="8">
        <v>46181</v>
      </c>
      <c r="E177" t="s">
        <v>113</v>
      </c>
      <c r="F177" t="s">
        <v>18</v>
      </c>
      <c r="G177" t="s">
        <v>18</v>
      </c>
      <c r="H177" t="s">
        <v>1315</v>
      </c>
      <c r="I177" t="s">
        <v>147</v>
      </c>
      <c r="J177" t="s">
        <v>32</v>
      </c>
      <c r="K177">
        <v>2</v>
      </c>
      <c r="L177">
        <v>1984889</v>
      </c>
      <c r="M177">
        <v>15000</v>
      </c>
      <c r="N177" t="s">
        <v>137</v>
      </c>
      <c r="O177" t="s">
        <v>161</v>
      </c>
      <c r="P177" t="s">
        <v>139</v>
      </c>
      <c r="Q177" t="s">
        <v>21</v>
      </c>
    </row>
    <row r="178" spans="1:17" x14ac:dyDescent="0.25">
      <c r="A178" t="s">
        <v>523</v>
      </c>
      <c r="B178" t="s">
        <v>296</v>
      </c>
      <c r="C178" t="s">
        <v>297</v>
      </c>
      <c r="D178" s="8">
        <v>46172</v>
      </c>
      <c r="E178" t="s">
        <v>26</v>
      </c>
      <c r="F178" t="s">
        <v>34</v>
      </c>
      <c r="G178" t="s">
        <v>34</v>
      </c>
      <c r="H178" t="s">
        <v>1315</v>
      </c>
      <c r="I178" t="s">
        <v>173</v>
      </c>
      <c r="J178" t="s">
        <v>35</v>
      </c>
      <c r="K178">
        <v>2</v>
      </c>
      <c r="L178">
        <v>2389721</v>
      </c>
      <c r="M178">
        <v>15000</v>
      </c>
      <c r="N178" t="s">
        <v>137</v>
      </c>
      <c r="O178" t="s">
        <v>138</v>
      </c>
      <c r="P178" t="s">
        <v>156</v>
      </c>
      <c r="Q178" t="s">
        <v>21</v>
      </c>
    </row>
    <row r="179" spans="1:17" x14ac:dyDescent="0.25">
      <c r="A179" t="s">
        <v>524</v>
      </c>
      <c r="B179" t="s">
        <v>525</v>
      </c>
      <c r="C179" t="s">
        <v>526</v>
      </c>
      <c r="D179" s="8">
        <v>46056</v>
      </c>
      <c r="E179" t="s">
        <v>114</v>
      </c>
      <c r="F179" t="s">
        <v>18</v>
      </c>
      <c r="G179" t="s">
        <v>18</v>
      </c>
      <c r="H179" t="s">
        <v>143</v>
      </c>
      <c r="I179" t="s">
        <v>173</v>
      </c>
      <c r="J179" t="s">
        <v>25</v>
      </c>
      <c r="K179">
        <v>7</v>
      </c>
      <c r="L179">
        <v>2246964</v>
      </c>
      <c r="M179">
        <v>50000</v>
      </c>
      <c r="N179" t="s">
        <v>137</v>
      </c>
      <c r="O179" t="s">
        <v>161</v>
      </c>
      <c r="P179" t="s">
        <v>156</v>
      </c>
      <c r="Q179" t="s">
        <v>21</v>
      </c>
    </row>
    <row r="180" spans="1:17" x14ac:dyDescent="0.25">
      <c r="A180" t="s">
        <v>527</v>
      </c>
      <c r="B180" t="s">
        <v>459</v>
      </c>
      <c r="C180" t="s">
        <v>317</v>
      </c>
      <c r="D180" s="8">
        <v>46144</v>
      </c>
      <c r="E180" t="s">
        <v>26</v>
      </c>
      <c r="F180" t="s">
        <v>34</v>
      </c>
      <c r="G180" t="s">
        <v>34</v>
      </c>
      <c r="H180" t="s">
        <v>1315</v>
      </c>
      <c r="I180" t="s">
        <v>39</v>
      </c>
      <c r="J180" t="s">
        <v>25</v>
      </c>
      <c r="K180">
        <v>6</v>
      </c>
      <c r="L180">
        <v>2080427</v>
      </c>
      <c r="M180">
        <v>50000</v>
      </c>
      <c r="N180" t="s">
        <v>137</v>
      </c>
      <c r="O180" t="s">
        <v>138</v>
      </c>
      <c r="P180" t="s">
        <v>156</v>
      </c>
      <c r="Q180" t="s">
        <v>21</v>
      </c>
    </row>
    <row r="181" spans="1:17" x14ac:dyDescent="0.25">
      <c r="A181" t="s">
        <v>528</v>
      </c>
      <c r="B181" t="s">
        <v>521</v>
      </c>
      <c r="C181" t="s">
        <v>142</v>
      </c>
      <c r="D181" s="8">
        <v>46139</v>
      </c>
      <c r="E181" t="s">
        <v>117</v>
      </c>
      <c r="F181" t="s">
        <v>18</v>
      </c>
      <c r="G181" t="s">
        <v>18</v>
      </c>
      <c r="H181" t="s">
        <v>28</v>
      </c>
      <c r="I181" t="s">
        <v>147</v>
      </c>
      <c r="J181" t="s">
        <v>29</v>
      </c>
      <c r="K181">
        <v>2</v>
      </c>
      <c r="L181">
        <v>296966</v>
      </c>
      <c r="M181">
        <v>35000</v>
      </c>
      <c r="N181" t="s">
        <v>43</v>
      </c>
      <c r="O181" t="s">
        <v>138</v>
      </c>
      <c r="P181" t="s">
        <v>156</v>
      </c>
      <c r="Q181" t="s">
        <v>38</v>
      </c>
    </row>
    <row r="182" spans="1:17" x14ac:dyDescent="0.25">
      <c r="A182" t="s">
        <v>529</v>
      </c>
      <c r="B182" t="s">
        <v>530</v>
      </c>
      <c r="C182" t="s">
        <v>399</v>
      </c>
      <c r="D182" s="8">
        <v>46107</v>
      </c>
      <c r="E182" t="s">
        <v>115</v>
      </c>
      <c r="F182" t="s">
        <v>34</v>
      </c>
      <c r="G182" t="s">
        <v>34</v>
      </c>
      <c r="H182" t="s">
        <v>160</v>
      </c>
      <c r="I182" t="s">
        <v>173</v>
      </c>
      <c r="J182" t="s">
        <v>25</v>
      </c>
      <c r="K182">
        <v>4</v>
      </c>
      <c r="L182">
        <v>1696688</v>
      </c>
      <c r="M182">
        <v>15000</v>
      </c>
      <c r="N182" t="s">
        <v>137</v>
      </c>
      <c r="P182" t="s">
        <v>156</v>
      </c>
      <c r="Q182" t="s">
        <v>1321</v>
      </c>
    </row>
    <row r="183" spans="1:17" x14ac:dyDescent="0.25">
      <c r="A183" t="s">
        <v>531</v>
      </c>
      <c r="B183" t="s">
        <v>158</v>
      </c>
      <c r="C183" t="s">
        <v>159</v>
      </c>
      <c r="D183" s="8">
        <v>46052</v>
      </c>
      <c r="E183" t="s">
        <v>116</v>
      </c>
      <c r="F183" t="s">
        <v>34</v>
      </c>
      <c r="G183" t="s">
        <v>34</v>
      </c>
      <c r="H183" t="s">
        <v>160</v>
      </c>
      <c r="I183" t="s">
        <v>173</v>
      </c>
      <c r="J183" t="s">
        <v>29</v>
      </c>
      <c r="K183">
        <v>4</v>
      </c>
      <c r="L183">
        <v>717277</v>
      </c>
      <c r="M183">
        <v>25000</v>
      </c>
      <c r="N183" t="s">
        <v>137</v>
      </c>
      <c r="O183" t="s">
        <v>138</v>
      </c>
      <c r="P183" t="s">
        <v>156</v>
      </c>
      <c r="Q183" t="s">
        <v>21</v>
      </c>
    </row>
    <row r="184" spans="1:17" x14ac:dyDescent="0.25">
      <c r="A184" t="s">
        <v>532</v>
      </c>
      <c r="B184" t="s">
        <v>374</v>
      </c>
      <c r="C184" t="s">
        <v>202</v>
      </c>
      <c r="D184" s="8">
        <v>46067</v>
      </c>
      <c r="E184" t="s">
        <v>114</v>
      </c>
      <c r="F184" t="s">
        <v>18</v>
      </c>
      <c r="G184" t="s">
        <v>18</v>
      </c>
      <c r="H184" t="s">
        <v>143</v>
      </c>
      <c r="I184" t="s">
        <v>177</v>
      </c>
      <c r="J184" t="s">
        <v>20</v>
      </c>
      <c r="K184">
        <v>6</v>
      </c>
      <c r="L184">
        <v>1038322</v>
      </c>
      <c r="M184">
        <v>25000</v>
      </c>
      <c r="N184" t="s">
        <v>137</v>
      </c>
      <c r="O184" t="s">
        <v>165</v>
      </c>
      <c r="P184" t="s">
        <v>156</v>
      </c>
      <c r="Q184" t="s">
        <v>21</v>
      </c>
    </row>
    <row r="185" spans="1:17" x14ac:dyDescent="0.25">
      <c r="A185" t="s">
        <v>533</v>
      </c>
      <c r="B185" t="s">
        <v>455</v>
      </c>
      <c r="C185" t="s">
        <v>456</v>
      </c>
      <c r="D185" s="8">
        <v>46090</v>
      </c>
      <c r="E185" t="s">
        <v>115</v>
      </c>
      <c r="F185" t="s">
        <v>23</v>
      </c>
      <c r="G185" t="s">
        <v>23</v>
      </c>
      <c r="H185" t="s">
        <v>1315</v>
      </c>
      <c r="I185" t="s">
        <v>177</v>
      </c>
      <c r="J185" t="s">
        <v>25</v>
      </c>
      <c r="K185">
        <v>7</v>
      </c>
      <c r="L185">
        <v>544422</v>
      </c>
      <c r="M185">
        <v>0</v>
      </c>
      <c r="N185" t="s">
        <v>137</v>
      </c>
      <c r="O185" t="s">
        <v>138</v>
      </c>
      <c r="P185" t="s">
        <v>139</v>
      </c>
      <c r="Q185" t="s">
        <v>1318</v>
      </c>
    </row>
    <row r="186" spans="1:17" x14ac:dyDescent="0.25">
      <c r="A186" t="s">
        <v>534</v>
      </c>
      <c r="B186" t="s">
        <v>535</v>
      </c>
      <c r="C186" t="s">
        <v>192</v>
      </c>
      <c r="D186" s="8">
        <v>46117</v>
      </c>
      <c r="E186" t="s">
        <v>117</v>
      </c>
      <c r="F186" t="s">
        <v>23</v>
      </c>
      <c r="G186" t="s">
        <v>23</v>
      </c>
      <c r="H186" t="s">
        <v>160</v>
      </c>
      <c r="I186" t="s">
        <v>177</v>
      </c>
      <c r="J186" t="s">
        <v>29</v>
      </c>
      <c r="K186">
        <v>5</v>
      </c>
      <c r="L186">
        <v>1681750</v>
      </c>
      <c r="M186">
        <v>15000</v>
      </c>
      <c r="N186" t="s">
        <v>37</v>
      </c>
      <c r="O186" t="s">
        <v>149</v>
      </c>
      <c r="P186" t="s">
        <v>156</v>
      </c>
      <c r="Q186" t="s">
        <v>21</v>
      </c>
    </row>
    <row r="187" spans="1:17" x14ac:dyDescent="0.25">
      <c r="A187" t="s">
        <v>536</v>
      </c>
      <c r="B187" t="s">
        <v>327</v>
      </c>
      <c r="C187" t="s">
        <v>328</v>
      </c>
      <c r="D187" s="8">
        <v>46159</v>
      </c>
      <c r="E187" t="s">
        <v>26</v>
      </c>
      <c r="F187" t="s">
        <v>18</v>
      </c>
      <c r="G187" t="s">
        <v>18</v>
      </c>
      <c r="H187" t="s">
        <v>160</v>
      </c>
      <c r="I187" t="s">
        <v>147</v>
      </c>
      <c r="J187" t="s">
        <v>35</v>
      </c>
      <c r="K187">
        <v>3</v>
      </c>
      <c r="L187">
        <v>1706267</v>
      </c>
      <c r="M187">
        <v>25000</v>
      </c>
      <c r="N187" t="s">
        <v>137</v>
      </c>
      <c r="O187" t="s">
        <v>149</v>
      </c>
      <c r="P187" t="s">
        <v>156</v>
      </c>
      <c r="Q187" t="s">
        <v>21</v>
      </c>
    </row>
    <row r="188" spans="1:17" x14ac:dyDescent="0.25">
      <c r="A188" t="s">
        <v>537</v>
      </c>
      <c r="B188" t="s">
        <v>392</v>
      </c>
      <c r="C188" t="s">
        <v>183</v>
      </c>
      <c r="D188" s="8">
        <v>46160</v>
      </c>
      <c r="E188" t="s">
        <v>26</v>
      </c>
      <c r="F188" t="s">
        <v>34</v>
      </c>
      <c r="G188" t="s">
        <v>34</v>
      </c>
      <c r="H188" t="s">
        <v>143</v>
      </c>
      <c r="I188" t="s">
        <v>147</v>
      </c>
      <c r="J188" t="s">
        <v>35</v>
      </c>
      <c r="K188">
        <v>3</v>
      </c>
      <c r="L188">
        <v>1353891</v>
      </c>
      <c r="M188">
        <v>15000</v>
      </c>
      <c r="N188" t="s">
        <v>137</v>
      </c>
      <c r="O188" t="s">
        <v>138</v>
      </c>
      <c r="P188" t="s">
        <v>139</v>
      </c>
      <c r="Q188" t="s">
        <v>21</v>
      </c>
    </row>
    <row r="189" spans="1:17" x14ac:dyDescent="0.25">
      <c r="A189" t="s">
        <v>538</v>
      </c>
      <c r="B189" t="s">
        <v>416</v>
      </c>
      <c r="C189" t="s">
        <v>350</v>
      </c>
      <c r="D189" s="8">
        <v>46043</v>
      </c>
      <c r="E189" t="s">
        <v>116</v>
      </c>
      <c r="F189" t="s">
        <v>27</v>
      </c>
      <c r="G189" t="s">
        <v>27</v>
      </c>
      <c r="H189" t="s">
        <v>1315</v>
      </c>
      <c r="I189" t="s">
        <v>39</v>
      </c>
      <c r="J189" t="s">
        <v>35</v>
      </c>
      <c r="K189">
        <v>1</v>
      </c>
      <c r="L189">
        <v>2094121</v>
      </c>
      <c r="M189">
        <v>50000</v>
      </c>
      <c r="N189" t="s">
        <v>137</v>
      </c>
      <c r="O189" t="s">
        <v>138</v>
      </c>
      <c r="P189" t="s">
        <v>139</v>
      </c>
      <c r="Q189" t="s">
        <v>21</v>
      </c>
    </row>
    <row r="190" spans="1:17" x14ac:dyDescent="0.25">
      <c r="A190" t="s">
        <v>539</v>
      </c>
      <c r="B190" t="s">
        <v>540</v>
      </c>
      <c r="C190" t="s">
        <v>33</v>
      </c>
      <c r="D190" s="8">
        <v>46105</v>
      </c>
      <c r="E190" t="s">
        <v>115</v>
      </c>
      <c r="F190" t="s">
        <v>31</v>
      </c>
      <c r="G190" t="s">
        <v>31</v>
      </c>
      <c r="H190" t="s">
        <v>1315</v>
      </c>
      <c r="I190" t="s">
        <v>147</v>
      </c>
      <c r="J190" t="s">
        <v>32</v>
      </c>
      <c r="K190">
        <v>6</v>
      </c>
      <c r="L190">
        <v>1688161</v>
      </c>
      <c r="M190">
        <v>50000</v>
      </c>
      <c r="N190" t="s">
        <v>137</v>
      </c>
      <c r="O190" t="s">
        <v>149</v>
      </c>
      <c r="P190" t="s">
        <v>156</v>
      </c>
      <c r="Q190" t="s">
        <v>21</v>
      </c>
    </row>
    <row r="191" spans="1:17" x14ac:dyDescent="0.25">
      <c r="A191" t="s">
        <v>541</v>
      </c>
      <c r="B191" t="s">
        <v>416</v>
      </c>
      <c r="C191" t="s">
        <v>350</v>
      </c>
      <c r="D191" s="8">
        <v>46079</v>
      </c>
      <c r="E191" t="s">
        <v>114</v>
      </c>
      <c r="F191" t="s">
        <v>31</v>
      </c>
      <c r="G191" t="s">
        <v>31</v>
      </c>
      <c r="H191" t="s">
        <v>28</v>
      </c>
      <c r="I191" t="s">
        <v>147</v>
      </c>
      <c r="J191" t="s">
        <v>29</v>
      </c>
      <c r="K191">
        <v>7</v>
      </c>
      <c r="L191">
        <v>971445</v>
      </c>
      <c r="M191">
        <v>35000</v>
      </c>
      <c r="N191" t="s">
        <v>137</v>
      </c>
      <c r="O191" t="s">
        <v>161</v>
      </c>
      <c r="P191" t="s">
        <v>139</v>
      </c>
      <c r="Q191" t="s">
        <v>21</v>
      </c>
    </row>
    <row r="192" spans="1:17" x14ac:dyDescent="0.25">
      <c r="A192" t="s">
        <v>542</v>
      </c>
      <c r="B192" t="s">
        <v>543</v>
      </c>
      <c r="C192" t="s">
        <v>146</v>
      </c>
      <c r="D192" s="8">
        <v>46163</v>
      </c>
      <c r="E192" t="s">
        <v>26</v>
      </c>
      <c r="F192" t="s">
        <v>34</v>
      </c>
      <c r="G192" t="s">
        <v>34</v>
      </c>
      <c r="H192" t="s">
        <v>143</v>
      </c>
      <c r="I192" t="s">
        <v>147</v>
      </c>
      <c r="J192" t="s">
        <v>20</v>
      </c>
      <c r="K192">
        <v>7</v>
      </c>
      <c r="L192">
        <v>475504</v>
      </c>
      <c r="M192">
        <v>15000</v>
      </c>
      <c r="N192" t="s">
        <v>137</v>
      </c>
      <c r="O192" t="s">
        <v>138</v>
      </c>
      <c r="P192" t="s">
        <v>139</v>
      </c>
      <c r="Q192" t="s">
        <v>21</v>
      </c>
    </row>
    <row r="193" spans="1:17" x14ac:dyDescent="0.25">
      <c r="A193" t="s">
        <v>544</v>
      </c>
      <c r="B193" t="s">
        <v>545</v>
      </c>
      <c r="C193" t="s">
        <v>17</v>
      </c>
      <c r="D193" s="8">
        <v>46182</v>
      </c>
      <c r="E193" t="s">
        <v>113</v>
      </c>
      <c r="F193" t="s">
        <v>31</v>
      </c>
      <c r="G193" t="s">
        <v>31</v>
      </c>
      <c r="H193" t="s">
        <v>1315</v>
      </c>
      <c r="I193" t="s">
        <v>136</v>
      </c>
      <c r="J193" t="s">
        <v>32</v>
      </c>
      <c r="K193">
        <v>4</v>
      </c>
      <c r="L193">
        <v>1530854</v>
      </c>
      <c r="M193">
        <v>35000</v>
      </c>
      <c r="N193" t="s">
        <v>137</v>
      </c>
      <c r="O193" t="s">
        <v>138</v>
      </c>
      <c r="P193" t="s">
        <v>156</v>
      </c>
      <c r="Q193" t="s">
        <v>21</v>
      </c>
    </row>
    <row r="194" spans="1:17" x14ac:dyDescent="0.25">
      <c r="A194" t="s">
        <v>546</v>
      </c>
      <c r="B194" t="s">
        <v>540</v>
      </c>
      <c r="C194" t="s">
        <v>33</v>
      </c>
      <c r="D194" s="8">
        <v>46136</v>
      </c>
      <c r="E194" t="s">
        <v>117</v>
      </c>
      <c r="F194" t="s">
        <v>34</v>
      </c>
      <c r="G194" t="s">
        <v>34</v>
      </c>
      <c r="H194" t="s">
        <v>160</v>
      </c>
      <c r="I194" t="s">
        <v>136</v>
      </c>
      <c r="J194" t="s">
        <v>29</v>
      </c>
      <c r="K194">
        <v>6</v>
      </c>
      <c r="L194">
        <v>1100588</v>
      </c>
      <c r="M194">
        <v>25000</v>
      </c>
      <c r="N194" t="s">
        <v>137</v>
      </c>
      <c r="O194" t="s">
        <v>165</v>
      </c>
      <c r="P194" t="s">
        <v>156</v>
      </c>
      <c r="Q194" t="s">
        <v>21</v>
      </c>
    </row>
    <row r="195" spans="1:17" x14ac:dyDescent="0.25">
      <c r="A195" t="s">
        <v>547</v>
      </c>
      <c r="B195" t="s">
        <v>235</v>
      </c>
      <c r="C195" t="s">
        <v>142</v>
      </c>
      <c r="D195" s="8">
        <v>46041</v>
      </c>
      <c r="E195" t="s">
        <v>116</v>
      </c>
      <c r="F195" t="s">
        <v>34</v>
      </c>
      <c r="G195" t="s">
        <v>34</v>
      </c>
      <c r="H195" t="s">
        <v>1315</v>
      </c>
      <c r="I195" t="s">
        <v>136</v>
      </c>
      <c r="J195" t="s">
        <v>25</v>
      </c>
      <c r="K195">
        <v>5</v>
      </c>
      <c r="L195">
        <v>1630943</v>
      </c>
      <c r="M195">
        <v>0</v>
      </c>
      <c r="N195" t="s">
        <v>137</v>
      </c>
      <c r="O195" t="s">
        <v>161</v>
      </c>
      <c r="P195" t="s">
        <v>156</v>
      </c>
      <c r="Q195" t="s">
        <v>1318</v>
      </c>
    </row>
    <row r="196" spans="1:17" x14ac:dyDescent="0.25">
      <c r="A196" t="s">
        <v>548</v>
      </c>
      <c r="B196" t="s">
        <v>163</v>
      </c>
      <c r="C196" t="s">
        <v>164</v>
      </c>
      <c r="D196" s="8">
        <v>46177</v>
      </c>
      <c r="E196" t="s">
        <v>113</v>
      </c>
      <c r="F196" t="s">
        <v>34</v>
      </c>
      <c r="G196" t="s">
        <v>34</v>
      </c>
      <c r="H196" t="s">
        <v>28</v>
      </c>
      <c r="I196" t="s">
        <v>39</v>
      </c>
      <c r="J196" t="s">
        <v>35</v>
      </c>
      <c r="K196">
        <v>3</v>
      </c>
      <c r="L196">
        <v>698248</v>
      </c>
      <c r="M196">
        <v>50000</v>
      </c>
      <c r="N196" t="s">
        <v>137</v>
      </c>
      <c r="O196" t="s">
        <v>199</v>
      </c>
      <c r="P196" t="s">
        <v>156</v>
      </c>
      <c r="Q196" t="s">
        <v>21</v>
      </c>
    </row>
    <row r="197" spans="1:17" x14ac:dyDescent="0.25">
      <c r="A197" t="s">
        <v>549</v>
      </c>
      <c r="B197" t="s">
        <v>257</v>
      </c>
      <c r="C197" t="s">
        <v>258</v>
      </c>
      <c r="D197" s="8">
        <v>46190</v>
      </c>
      <c r="E197" t="s">
        <v>113</v>
      </c>
      <c r="F197" t="s">
        <v>18</v>
      </c>
      <c r="G197" t="s">
        <v>18</v>
      </c>
      <c r="H197" t="s">
        <v>28</v>
      </c>
      <c r="I197" t="s">
        <v>177</v>
      </c>
      <c r="J197" t="s">
        <v>35</v>
      </c>
      <c r="K197">
        <v>7</v>
      </c>
      <c r="L197">
        <v>2270197</v>
      </c>
      <c r="M197">
        <v>15000</v>
      </c>
      <c r="N197" t="s">
        <v>137</v>
      </c>
      <c r="O197" t="s">
        <v>161</v>
      </c>
      <c r="P197" t="s">
        <v>139</v>
      </c>
      <c r="Q197" t="s">
        <v>21</v>
      </c>
    </row>
    <row r="198" spans="1:17" x14ac:dyDescent="0.25">
      <c r="A198" t="s">
        <v>550</v>
      </c>
      <c r="B198" t="s">
        <v>551</v>
      </c>
      <c r="C198" t="s">
        <v>452</v>
      </c>
      <c r="D198" s="8">
        <v>46141</v>
      </c>
      <c r="E198" t="s">
        <v>117</v>
      </c>
      <c r="F198" t="s">
        <v>31</v>
      </c>
      <c r="G198" t="s">
        <v>31</v>
      </c>
      <c r="H198" t="s">
        <v>143</v>
      </c>
      <c r="I198" t="s">
        <v>39</v>
      </c>
      <c r="J198" t="s">
        <v>32</v>
      </c>
      <c r="K198">
        <v>3</v>
      </c>
      <c r="L198">
        <v>1548829</v>
      </c>
      <c r="M198">
        <v>0</v>
      </c>
      <c r="N198" t="s">
        <v>148</v>
      </c>
      <c r="O198" t="s">
        <v>149</v>
      </c>
      <c r="P198" t="s">
        <v>156</v>
      </c>
      <c r="Q198" t="s">
        <v>1318</v>
      </c>
    </row>
    <row r="199" spans="1:17" x14ac:dyDescent="0.25">
      <c r="A199" t="s">
        <v>552</v>
      </c>
      <c r="B199" t="s">
        <v>237</v>
      </c>
      <c r="C199" t="s">
        <v>205</v>
      </c>
      <c r="D199" s="8">
        <v>46058</v>
      </c>
      <c r="E199" t="s">
        <v>114</v>
      </c>
      <c r="F199" t="s">
        <v>34</v>
      </c>
      <c r="G199" t="s">
        <v>34</v>
      </c>
      <c r="H199" t="s">
        <v>1315</v>
      </c>
      <c r="I199" t="s">
        <v>177</v>
      </c>
      <c r="J199" t="s">
        <v>32</v>
      </c>
      <c r="K199">
        <v>6</v>
      </c>
      <c r="L199">
        <v>658320</v>
      </c>
      <c r="M199">
        <v>25000</v>
      </c>
      <c r="N199" t="s">
        <v>137</v>
      </c>
      <c r="O199" t="s">
        <v>165</v>
      </c>
      <c r="P199" t="s">
        <v>139</v>
      </c>
      <c r="Q199" t="s">
        <v>21</v>
      </c>
    </row>
    <row r="200" spans="1:17" x14ac:dyDescent="0.25">
      <c r="A200" t="s">
        <v>553</v>
      </c>
      <c r="B200" t="s">
        <v>274</v>
      </c>
      <c r="C200" t="s">
        <v>192</v>
      </c>
      <c r="D200" s="8">
        <v>46126</v>
      </c>
      <c r="E200" t="s">
        <v>117</v>
      </c>
      <c r="F200" t="s">
        <v>23</v>
      </c>
      <c r="G200" t="s">
        <v>23</v>
      </c>
      <c r="H200" t="s">
        <v>143</v>
      </c>
      <c r="I200" t="s">
        <v>177</v>
      </c>
      <c r="J200" t="s">
        <v>25</v>
      </c>
      <c r="M200">
        <v>25000</v>
      </c>
      <c r="N200" t="s">
        <v>137</v>
      </c>
      <c r="O200" t="s">
        <v>138</v>
      </c>
      <c r="P200" t="s">
        <v>139</v>
      </c>
      <c r="Q200" t="s">
        <v>1320</v>
      </c>
    </row>
    <row r="201" spans="1:17" x14ac:dyDescent="0.25">
      <c r="A201" t="s">
        <v>554</v>
      </c>
      <c r="B201" t="s">
        <v>363</v>
      </c>
      <c r="C201" t="s">
        <v>195</v>
      </c>
      <c r="D201" s="8">
        <v>46075</v>
      </c>
      <c r="E201" t="s">
        <v>114</v>
      </c>
      <c r="F201" t="s">
        <v>34</v>
      </c>
      <c r="G201" t="s">
        <v>34</v>
      </c>
      <c r="H201" t="s">
        <v>28</v>
      </c>
      <c r="I201" t="s">
        <v>169</v>
      </c>
      <c r="J201" t="s">
        <v>25</v>
      </c>
      <c r="K201">
        <v>5</v>
      </c>
      <c r="L201">
        <v>1758446</v>
      </c>
      <c r="M201">
        <v>0</v>
      </c>
      <c r="N201" t="s">
        <v>214</v>
      </c>
      <c r="O201" t="s">
        <v>138</v>
      </c>
      <c r="P201" t="s">
        <v>156</v>
      </c>
      <c r="Q201" t="s">
        <v>1318</v>
      </c>
    </row>
    <row r="202" spans="1:17" x14ac:dyDescent="0.25">
      <c r="A202" t="s">
        <v>555</v>
      </c>
      <c r="B202" t="s">
        <v>556</v>
      </c>
      <c r="C202" t="s">
        <v>231</v>
      </c>
      <c r="D202" s="8">
        <v>46049</v>
      </c>
      <c r="E202" t="s">
        <v>116</v>
      </c>
      <c r="F202" t="s">
        <v>18</v>
      </c>
      <c r="G202" t="s">
        <v>18</v>
      </c>
      <c r="H202" t="s">
        <v>160</v>
      </c>
      <c r="I202" t="s">
        <v>39</v>
      </c>
      <c r="J202" t="s">
        <v>25</v>
      </c>
      <c r="K202">
        <v>1</v>
      </c>
      <c r="L202">
        <v>2439059</v>
      </c>
      <c r="M202">
        <v>15000</v>
      </c>
      <c r="N202" t="s">
        <v>148</v>
      </c>
      <c r="O202" t="s">
        <v>161</v>
      </c>
      <c r="P202" t="s">
        <v>156</v>
      </c>
      <c r="Q202" t="s">
        <v>21</v>
      </c>
    </row>
    <row r="203" spans="1:17" x14ac:dyDescent="0.25">
      <c r="A203" t="s">
        <v>557</v>
      </c>
      <c r="B203" t="s">
        <v>558</v>
      </c>
      <c r="C203" t="s">
        <v>526</v>
      </c>
      <c r="D203" s="8">
        <v>46097</v>
      </c>
      <c r="E203" t="s">
        <v>115</v>
      </c>
      <c r="F203" t="s">
        <v>18</v>
      </c>
      <c r="G203" t="s">
        <v>18</v>
      </c>
      <c r="H203" t="s">
        <v>1315</v>
      </c>
      <c r="I203" t="s">
        <v>39</v>
      </c>
      <c r="J203" t="s">
        <v>32</v>
      </c>
      <c r="K203">
        <v>4</v>
      </c>
      <c r="L203">
        <v>2319474</v>
      </c>
      <c r="M203">
        <v>0</v>
      </c>
      <c r="N203" t="s">
        <v>137</v>
      </c>
      <c r="O203" t="s">
        <v>138</v>
      </c>
      <c r="P203" t="s">
        <v>156</v>
      </c>
      <c r="Q203" t="s">
        <v>1318</v>
      </c>
    </row>
    <row r="204" spans="1:17" x14ac:dyDescent="0.25">
      <c r="A204" t="s">
        <v>559</v>
      </c>
      <c r="B204" t="s">
        <v>560</v>
      </c>
      <c r="C204" t="s">
        <v>164</v>
      </c>
      <c r="D204" s="8">
        <v>46056</v>
      </c>
      <c r="E204" t="s">
        <v>114</v>
      </c>
      <c r="F204" t="s">
        <v>18</v>
      </c>
      <c r="G204" t="s">
        <v>18</v>
      </c>
      <c r="H204" t="s">
        <v>143</v>
      </c>
      <c r="I204" t="s">
        <v>177</v>
      </c>
      <c r="J204" t="s">
        <v>25</v>
      </c>
      <c r="K204">
        <v>4</v>
      </c>
      <c r="L204" t="s">
        <v>561</v>
      </c>
      <c r="M204">
        <v>35000</v>
      </c>
      <c r="N204" t="s">
        <v>137</v>
      </c>
      <c r="O204" t="s">
        <v>138</v>
      </c>
      <c r="P204" t="s">
        <v>139</v>
      </c>
      <c r="Q204" t="s">
        <v>21</v>
      </c>
    </row>
    <row r="205" spans="1:17" x14ac:dyDescent="0.25">
      <c r="A205" t="s">
        <v>562</v>
      </c>
      <c r="B205" t="s">
        <v>563</v>
      </c>
      <c r="C205" t="s">
        <v>180</v>
      </c>
      <c r="D205" s="8">
        <v>46193</v>
      </c>
      <c r="E205" t="s">
        <v>113</v>
      </c>
      <c r="F205" t="s">
        <v>18</v>
      </c>
      <c r="G205" t="s">
        <v>18</v>
      </c>
      <c r="H205" t="s">
        <v>28</v>
      </c>
      <c r="I205" t="s">
        <v>136</v>
      </c>
      <c r="J205" t="s">
        <v>29</v>
      </c>
      <c r="K205">
        <v>5</v>
      </c>
      <c r="L205">
        <v>2111371</v>
      </c>
      <c r="M205">
        <v>15000</v>
      </c>
      <c r="N205" t="s">
        <v>137</v>
      </c>
      <c r="O205" t="s">
        <v>161</v>
      </c>
      <c r="P205" t="s">
        <v>156</v>
      </c>
      <c r="Q205" t="s">
        <v>21</v>
      </c>
    </row>
    <row r="206" spans="1:17" x14ac:dyDescent="0.25">
      <c r="A206" t="s">
        <v>564</v>
      </c>
      <c r="B206" t="s">
        <v>225</v>
      </c>
      <c r="C206" t="s">
        <v>226</v>
      </c>
      <c r="D206" s="8">
        <v>46137</v>
      </c>
      <c r="E206" t="s">
        <v>117</v>
      </c>
      <c r="F206" t="s">
        <v>31</v>
      </c>
      <c r="G206" t="s">
        <v>31</v>
      </c>
      <c r="H206" t="s">
        <v>28</v>
      </c>
      <c r="I206" t="s">
        <v>39</v>
      </c>
      <c r="J206" t="s">
        <v>35</v>
      </c>
      <c r="K206">
        <v>5</v>
      </c>
      <c r="L206">
        <v>388309</v>
      </c>
      <c r="M206">
        <v>35000</v>
      </c>
      <c r="N206" t="s">
        <v>148</v>
      </c>
      <c r="O206" t="s">
        <v>149</v>
      </c>
      <c r="P206" t="s">
        <v>156</v>
      </c>
      <c r="Q206" t="s">
        <v>21</v>
      </c>
    </row>
    <row r="207" spans="1:17" x14ac:dyDescent="0.25">
      <c r="A207" t="s">
        <v>565</v>
      </c>
      <c r="B207" t="s">
        <v>394</v>
      </c>
      <c r="C207" t="s">
        <v>337</v>
      </c>
      <c r="D207" s="8">
        <v>46046</v>
      </c>
      <c r="E207" t="s">
        <v>116</v>
      </c>
      <c r="F207" t="s">
        <v>34</v>
      </c>
      <c r="G207" t="s">
        <v>34</v>
      </c>
      <c r="H207" t="s">
        <v>28</v>
      </c>
      <c r="I207" t="s">
        <v>147</v>
      </c>
      <c r="J207" t="s">
        <v>29</v>
      </c>
      <c r="K207">
        <v>3</v>
      </c>
      <c r="L207">
        <v>1327589</v>
      </c>
      <c r="M207">
        <v>35000</v>
      </c>
      <c r="N207" t="s">
        <v>137</v>
      </c>
      <c r="O207" t="s">
        <v>138</v>
      </c>
      <c r="P207" t="s">
        <v>139</v>
      </c>
      <c r="Q207" t="s">
        <v>21</v>
      </c>
    </row>
    <row r="208" spans="1:17" x14ac:dyDescent="0.25">
      <c r="A208" t="s">
        <v>566</v>
      </c>
      <c r="B208" t="s">
        <v>486</v>
      </c>
      <c r="C208" t="s">
        <v>172</v>
      </c>
      <c r="D208" s="8">
        <v>46068</v>
      </c>
      <c r="E208" t="s">
        <v>114</v>
      </c>
      <c r="F208" t="s">
        <v>27</v>
      </c>
      <c r="G208" t="s">
        <v>27</v>
      </c>
      <c r="H208" t="s">
        <v>160</v>
      </c>
      <c r="I208" t="s">
        <v>39</v>
      </c>
      <c r="J208" t="s">
        <v>20</v>
      </c>
      <c r="K208">
        <v>4</v>
      </c>
      <c r="L208">
        <v>1932260</v>
      </c>
      <c r="M208">
        <v>35000</v>
      </c>
      <c r="N208" t="s">
        <v>43</v>
      </c>
      <c r="O208" t="s">
        <v>161</v>
      </c>
      <c r="P208" t="s">
        <v>156</v>
      </c>
      <c r="Q208" t="s">
        <v>38</v>
      </c>
    </row>
    <row r="209" spans="1:17" x14ac:dyDescent="0.25">
      <c r="A209" t="s">
        <v>567</v>
      </c>
      <c r="B209" t="s">
        <v>492</v>
      </c>
      <c r="C209" t="s">
        <v>146</v>
      </c>
      <c r="D209" s="8">
        <v>46063</v>
      </c>
      <c r="E209" t="s">
        <v>114</v>
      </c>
      <c r="F209" t="s">
        <v>18</v>
      </c>
      <c r="G209" t="s">
        <v>18</v>
      </c>
      <c r="H209" t="s">
        <v>28</v>
      </c>
      <c r="I209" t="s">
        <v>39</v>
      </c>
      <c r="J209" t="s">
        <v>35</v>
      </c>
      <c r="K209">
        <v>3</v>
      </c>
      <c r="L209">
        <v>1268300</v>
      </c>
      <c r="M209">
        <v>50000</v>
      </c>
      <c r="N209" t="s">
        <v>137</v>
      </c>
      <c r="O209" t="s">
        <v>161</v>
      </c>
      <c r="P209" t="s">
        <v>156</v>
      </c>
      <c r="Q209" t="s">
        <v>21</v>
      </c>
    </row>
    <row r="210" spans="1:17" x14ac:dyDescent="0.25">
      <c r="A210" t="s">
        <v>568</v>
      </c>
      <c r="B210" t="s">
        <v>569</v>
      </c>
      <c r="C210" t="s">
        <v>526</v>
      </c>
      <c r="D210" s="8">
        <v>46042</v>
      </c>
      <c r="E210" t="s">
        <v>116</v>
      </c>
      <c r="F210" t="s">
        <v>18</v>
      </c>
      <c r="G210" t="s">
        <v>18</v>
      </c>
      <c r="H210" t="s">
        <v>1315</v>
      </c>
      <c r="I210" t="s">
        <v>177</v>
      </c>
      <c r="J210" t="s">
        <v>35</v>
      </c>
      <c r="K210">
        <v>7</v>
      </c>
      <c r="L210">
        <v>561343</v>
      </c>
      <c r="M210">
        <v>50000</v>
      </c>
      <c r="N210" t="s">
        <v>137</v>
      </c>
      <c r="O210" t="s">
        <v>138</v>
      </c>
      <c r="P210" t="s">
        <v>156</v>
      </c>
      <c r="Q210" t="s">
        <v>21</v>
      </c>
    </row>
    <row r="211" spans="1:17" x14ac:dyDescent="0.25">
      <c r="A211" t="s">
        <v>570</v>
      </c>
      <c r="B211" t="s">
        <v>571</v>
      </c>
      <c r="C211" t="s">
        <v>441</v>
      </c>
      <c r="D211" s="8">
        <v>46029</v>
      </c>
      <c r="E211" t="s">
        <v>116</v>
      </c>
      <c r="F211" t="s">
        <v>18</v>
      </c>
      <c r="G211" t="s">
        <v>18</v>
      </c>
      <c r="H211" t="s">
        <v>28</v>
      </c>
      <c r="I211" t="s">
        <v>173</v>
      </c>
      <c r="J211" t="s">
        <v>20</v>
      </c>
      <c r="K211">
        <v>4</v>
      </c>
      <c r="L211">
        <v>427004</v>
      </c>
      <c r="M211">
        <v>35000</v>
      </c>
      <c r="N211" t="s">
        <v>137</v>
      </c>
      <c r="O211" t="s">
        <v>138</v>
      </c>
      <c r="P211" t="s">
        <v>139</v>
      </c>
      <c r="Q211" t="s">
        <v>21</v>
      </c>
    </row>
    <row r="212" spans="1:17" x14ac:dyDescent="0.25">
      <c r="A212" t="s">
        <v>572</v>
      </c>
      <c r="B212" t="s">
        <v>251</v>
      </c>
      <c r="C212" t="s">
        <v>17</v>
      </c>
      <c r="D212" s="8">
        <v>46057</v>
      </c>
      <c r="E212" t="s">
        <v>114</v>
      </c>
      <c r="F212" t="s">
        <v>18</v>
      </c>
      <c r="G212" t="s">
        <v>18</v>
      </c>
      <c r="H212" t="s">
        <v>28</v>
      </c>
      <c r="I212" t="s">
        <v>177</v>
      </c>
      <c r="J212" t="s">
        <v>32</v>
      </c>
      <c r="K212">
        <v>4</v>
      </c>
      <c r="L212">
        <v>1492000</v>
      </c>
      <c r="M212">
        <v>35000</v>
      </c>
      <c r="N212" t="s">
        <v>137</v>
      </c>
      <c r="O212" t="s">
        <v>161</v>
      </c>
      <c r="P212" t="s">
        <v>139</v>
      </c>
      <c r="Q212" t="s">
        <v>21</v>
      </c>
    </row>
    <row r="213" spans="1:17" x14ac:dyDescent="0.25">
      <c r="A213" t="s">
        <v>573</v>
      </c>
      <c r="B213" t="s">
        <v>455</v>
      </c>
      <c r="C213" t="s">
        <v>456</v>
      </c>
      <c r="D213" s="8">
        <v>46064</v>
      </c>
      <c r="E213" t="s">
        <v>114</v>
      </c>
      <c r="F213" t="s">
        <v>27</v>
      </c>
      <c r="G213" t="s">
        <v>27</v>
      </c>
      <c r="H213" t="s">
        <v>28</v>
      </c>
      <c r="I213" t="s">
        <v>177</v>
      </c>
      <c r="J213" t="s">
        <v>20</v>
      </c>
      <c r="K213">
        <v>5</v>
      </c>
      <c r="L213">
        <v>835502</v>
      </c>
      <c r="M213">
        <v>0</v>
      </c>
      <c r="N213" t="s">
        <v>137</v>
      </c>
      <c r="O213" t="s">
        <v>161</v>
      </c>
      <c r="P213" t="s">
        <v>156</v>
      </c>
      <c r="Q213" t="s">
        <v>1322</v>
      </c>
    </row>
    <row r="214" spans="1:17" x14ac:dyDescent="0.25">
      <c r="A214" t="s">
        <v>574</v>
      </c>
      <c r="B214" t="s">
        <v>462</v>
      </c>
      <c r="C214" t="s">
        <v>202</v>
      </c>
      <c r="D214" s="8">
        <v>46092</v>
      </c>
      <c r="E214" t="s">
        <v>115</v>
      </c>
      <c r="F214" t="s">
        <v>27</v>
      </c>
      <c r="G214" t="s">
        <v>27</v>
      </c>
      <c r="H214" t="s">
        <v>143</v>
      </c>
      <c r="I214" t="s">
        <v>39</v>
      </c>
      <c r="J214" t="s">
        <v>20</v>
      </c>
      <c r="K214">
        <v>3</v>
      </c>
      <c r="L214">
        <v>763810</v>
      </c>
      <c r="M214">
        <v>35000</v>
      </c>
      <c r="N214" t="s">
        <v>137</v>
      </c>
      <c r="O214" t="s">
        <v>138</v>
      </c>
      <c r="P214" t="s">
        <v>156</v>
      </c>
      <c r="Q214" t="s">
        <v>21</v>
      </c>
    </row>
    <row r="215" spans="1:17" x14ac:dyDescent="0.25">
      <c r="A215" t="s">
        <v>575</v>
      </c>
      <c r="B215" t="s">
        <v>498</v>
      </c>
      <c r="C215" t="s">
        <v>320</v>
      </c>
      <c r="D215" s="8">
        <v>46199</v>
      </c>
      <c r="E215" t="s">
        <v>113</v>
      </c>
      <c r="F215" t="s">
        <v>31</v>
      </c>
      <c r="G215" t="s">
        <v>31</v>
      </c>
      <c r="H215" t="s">
        <v>143</v>
      </c>
      <c r="I215" t="s">
        <v>177</v>
      </c>
      <c r="J215" t="s">
        <v>25</v>
      </c>
      <c r="K215">
        <v>1</v>
      </c>
      <c r="L215">
        <v>1413205</v>
      </c>
      <c r="M215">
        <v>35000</v>
      </c>
      <c r="N215" t="s">
        <v>137</v>
      </c>
      <c r="O215" t="s">
        <v>161</v>
      </c>
      <c r="P215" t="s">
        <v>156</v>
      </c>
      <c r="Q215" t="s">
        <v>21</v>
      </c>
    </row>
    <row r="216" spans="1:17" x14ac:dyDescent="0.25">
      <c r="A216" t="s">
        <v>576</v>
      </c>
      <c r="B216" t="s">
        <v>316</v>
      </c>
      <c r="C216" t="s">
        <v>317</v>
      </c>
      <c r="D216" s="8">
        <v>46046</v>
      </c>
      <c r="E216" t="s">
        <v>116</v>
      </c>
      <c r="F216" t="s">
        <v>23</v>
      </c>
      <c r="G216" t="s">
        <v>23</v>
      </c>
      <c r="H216" t="s">
        <v>143</v>
      </c>
      <c r="I216" t="s">
        <v>173</v>
      </c>
      <c r="J216" t="s">
        <v>29</v>
      </c>
      <c r="K216">
        <v>1</v>
      </c>
      <c r="L216">
        <v>187270</v>
      </c>
      <c r="M216">
        <v>35000</v>
      </c>
      <c r="N216" t="s">
        <v>37</v>
      </c>
      <c r="O216" t="s">
        <v>138</v>
      </c>
      <c r="P216" t="s">
        <v>156</v>
      </c>
      <c r="Q216" t="s">
        <v>21</v>
      </c>
    </row>
    <row r="217" spans="1:17" x14ac:dyDescent="0.25">
      <c r="A217" t="s">
        <v>577</v>
      </c>
      <c r="B217" t="s">
        <v>154</v>
      </c>
      <c r="C217" t="s">
        <v>155</v>
      </c>
      <c r="D217" s="8">
        <v>46129</v>
      </c>
      <c r="E217" t="s">
        <v>117</v>
      </c>
      <c r="F217" t="s">
        <v>18</v>
      </c>
      <c r="G217" t="s">
        <v>18</v>
      </c>
      <c r="H217" t="s">
        <v>143</v>
      </c>
      <c r="I217" t="s">
        <v>147</v>
      </c>
      <c r="J217" t="s">
        <v>32</v>
      </c>
      <c r="K217">
        <v>7</v>
      </c>
      <c r="L217">
        <v>2269581</v>
      </c>
      <c r="M217">
        <v>0</v>
      </c>
      <c r="N217" t="s">
        <v>137</v>
      </c>
      <c r="O217" t="s">
        <v>138</v>
      </c>
      <c r="P217" t="s">
        <v>139</v>
      </c>
      <c r="Q217" t="s">
        <v>1318</v>
      </c>
    </row>
    <row r="218" spans="1:17" x14ac:dyDescent="0.25">
      <c r="A218" t="s">
        <v>578</v>
      </c>
      <c r="B218" t="s">
        <v>235</v>
      </c>
      <c r="C218" t="s">
        <v>142</v>
      </c>
      <c r="D218" s="8">
        <v>46082</v>
      </c>
      <c r="E218" t="s">
        <v>115</v>
      </c>
      <c r="F218" t="s">
        <v>34</v>
      </c>
      <c r="G218" t="s">
        <v>34</v>
      </c>
      <c r="H218" t="s">
        <v>160</v>
      </c>
      <c r="I218" t="s">
        <v>39</v>
      </c>
      <c r="J218" t="s">
        <v>29</v>
      </c>
      <c r="K218">
        <v>3</v>
      </c>
      <c r="L218">
        <v>1016658</v>
      </c>
      <c r="M218">
        <v>0</v>
      </c>
      <c r="N218" t="s">
        <v>137</v>
      </c>
      <c r="O218" t="s">
        <v>161</v>
      </c>
      <c r="P218" t="s">
        <v>139</v>
      </c>
      <c r="Q218" t="s">
        <v>1318</v>
      </c>
    </row>
    <row r="219" spans="1:17" x14ac:dyDescent="0.25">
      <c r="A219" t="s">
        <v>579</v>
      </c>
      <c r="B219" t="s">
        <v>580</v>
      </c>
      <c r="C219" t="s">
        <v>33</v>
      </c>
      <c r="D219" s="8">
        <v>46039</v>
      </c>
      <c r="E219" t="s">
        <v>116</v>
      </c>
      <c r="F219" t="s">
        <v>31</v>
      </c>
      <c r="G219" t="s">
        <v>31</v>
      </c>
      <c r="H219" t="s">
        <v>1315</v>
      </c>
      <c r="I219" t="s">
        <v>147</v>
      </c>
      <c r="J219" t="s">
        <v>32</v>
      </c>
      <c r="K219">
        <v>3</v>
      </c>
      <c r="L219">
        <v>1287935</v>
      </c>
      <c r="M219">
        <v>50000</v>
      </c>
      <c r="N219" t="s">
        <v>137</v>
      </c>
      <c r="O219" t="s">
        <v>165</v>
      </c>
      <c r="P219" t="s">
        <v>156</v>
      </c>
      <c r="Q219" t="s">
        <v>21</v>
      </c>
    </row>
    <row r="220" spans="1:17" x14ac:dyDescent="0.25">
      <c r="A220" t="s">
        <v>581</v>
      </c>
      <c r="B220" t="s">
        <v>582</v>
      </c>
      <c r="C220" t="s">
        <v>446</v>
      </c>
      <c r="D220" s="8">
        <v>46160</v>
      </c>
      <c r="E220" t="s">
        <v>26</v>
      </c>
      <c r="F220" t="s">
        <v>31</v>
      </c>
      <c r="G220" t="s">
        <v>31</v>
      </c>
      <c r="H220" t="s">
        <v>143</v>
      </c>
      <c r="I220" t="s">
        <v>136</v>
      </c>
      <c r="J220" t="s">
        <v>29</v>
      </c>
      <c r="K220">
        <v>1</v>
      </c>
      <c r="L220">
        <v>839151</v>
      </c>
      <c r="M220">
        <v>25000</v>
      </c>
      <c r="N220" t="s">
        <v>137</v>
      </c>
      <c r="O220" t="s">
        <v>149</v>
      </c>
      <c r="P220" t="s">
        <v>139</v>
      </c>
      <c r="Q220" t="s">
        <v>21</v>
      </c>
    </row>
    <row r="221" spans="1:17" x14ac:dyDescent="0.25">
      <c r="A221" t="s">
        <v>583</v>
      </c>
      <c r="B221" t="s">
        <v>584</v>
      </c>
      <c r="C221" t="s">
        <v>189</v>
      </c>
      <c r="D221" s="8">
        <v>46193</v>
      </c>
      <c r="E221" t="s">
        <v>113</v>
      </c>
      <c r="F221" t="s">
        <v>31</v>
      </c>
      <c r="G221" t="s">
        <v>31</v>
      </c>
      <c r="H221" t="s">
        <v>28</v>
      </c>
      <c r="I221" t="s">
        <v>147</v>
      </c>
      <c r="J221" t="s">
        <v>29</v>
      </c>
      <c r="K221">
        <v>3</v>
      </c>
      <c r="L221">
        <v>2142201</v>
      </c>
      <c r="M221">
        <v>0</v>
      </c>
      <c r="N221" t="s">
        <v>137</v>
      </c>
      <c r="O221" t="s">
        <v>165</v>
      </c>
      <c r="P221" t="s">
        <v>156</v>
      </c>
      <c r="Q221" t="s">
        <v>1318</v>
      </c>
    </row>
    <row r="222" spans="1:17" x14ac:dyDescent="0.25">
      <c r="A222" t="s">
        <v>585</v>
      </c>
      <c r="B222" t="s">
        <v>558</v>
      </c>
      <c r="C222" t="s">
        <v>526</v>
      </c>
      <c r="D222" s="8">
        <v>46028</v>
      </c>
      <c r="E222" t="s">
        <v>116</v>
      </c>
      <c r="F222" t="s">
        <v>27</v>
      </c>
      <c r="G222" t="s">
        <v>27</v>
      </c>
      <c r="H222" t="s">
        <v>160</v>
      </c>
      <c r="I222" t="s">
        <v>173</v>
      </c>
      <c r="J222" t="s">
        <v>29</v>
      </c>
      <c r="K222">
        <v>2</v>
      </c>
      <c r="L222">
        <v>640329</v>
      </c>
      <c r="M222">
        <v>25000</v>
      </c>
      <c r="N222" t="s">
        <v>137</v>
      </c>
      <c r="O222" t="s">
        <v>138</v>
      </c>
      <c r="P222" t="s">
        <v>139</v>
      </c>
      <c r="Q222" t="s">
        <v>21</v>
      </c>
    </row>
    <row r="223" spans="1:17" x14ac:dyDescent="0.25">
      <c r="A223" t="s">
        <v>586</v>
      </c>
      <c r="B223" t="s">
        <v>308</v>
      </c>
      <c r="C223" t="s">
        <v>22</v>
      </c>
      <c r="D223" s="8">
        <v>46098</v>
      </c>
      <c r="E223" t="s">
        <v>115</v>
      </c>
      <c r="F223" t="s">
        <v>27</v>
      </c>
      <c r="G223" t="s">
        <v>27</v>
      </c>
      <c r="H223" t="s">
        <v>28</v>
      </c>
      <c r="I223" t="s">
        <v>169</v>
      </c>
      <c r="J223" t="s">
        <v>25</v>
      </c>
      <c r="K223">
        <v>4</v>
      </c>
      <c r="L223">
        <v>967298</v>
      </c>
      <c r="M223">
        <v>15000</v>
      </c>
      <c r="N223" t="s">
        <v>137</v>
      </c>
      <c r="O223" t="s">
        <v>161</v>
      </c>
      <c r="P223" t="s">
        <v>156</v>
      </c>
      <c r="Q223" t="s">
        <v>21</v>
      </c>
    </row>
    <row r="224" spans="1:17" x14ac:dyDescent="0.25">
      <c r="A224" t="s">
        <v>587</v>
      </c>
      <c r="B224" t="s">
        <v>151</v>
      </c>
      <c r="C224" t="s">
        <v>152</v>
      </c>
      <c r="D224" s="8">
        <v>46104</v>
      </c>
      <c r="E224" t="s">
        <v>115</v>
      </c>
      <c r="F224" t="s">
        <v>23</v>
      </c>
      <c r="G224" t="s">
        <v>23</v>
      </c>
      <c r="H224" t="s">
        <v>143</v>
      </c>
      <c r="I224" t="s">
        <v>169</v>
      </c>
      <c r="J224" t="s">
        <v>25</v>
      </c>
      <c r="K224">
        <v>7</v>
      </c>
      <c r="L224">
        <v>286125</v>
      </c>
      <c r="M224">
        <v>50000</v>
      </c>
      <c r="N224" t="s">
        <v>37</v>
      </c>
      <c r="O224" t="s">
        <v>138</v>
      </c>
      <c r="P224" t="s">
        <v>139</v>
      </c>
      <c r="Q224" t="s">
        <v>21</v>
      </c>
    </row>
    <row r="225" spans="1:17" x14ac:dyDescent="0.25">
      <c r="A225" t="s">
        <v>588</v>
      </c>
      <c r="B225" t="s">
        <v>589</v>
      </c>
      <c r="C225" t="s">
        <v>195</v>
      </c>
      <c r="D225" s="8">
        <v>46075</v>
      </c>
      <c r="E225" t="s">
        <v>114</v>
      </c>
      <c r="F225" t="s">
        <v>18</v>
      </c>
      <c r="G225" t="s">
        <v>18</v>
      </c>
      <c r="H225" t="s">
        <v>28</v>
      </c>
      <c r="I225" t="s">
        <v>147</v>
      </c>
      <c r="J225" t="s">
        <v>25</v>
      </c>
      <c r="K225">
        <v>6</v>
      </c>
      <c r="L225">
        <v>2382037</v>
      </c>
      <c r="M225">
        <v>0</v>
      </c>
      <c r="N225" t="s">
        <v>37</v>
      </c>
      <c r="O225" t="s">
        <v>249</v>
      </c>
      <c r="P225" t="s">
        <v>156</v>
      </c>
      <c r="Q225" t="s">
        <v>1318</v>
      </c>
    </row>
    <row r="226" spans="1:17" x14ac:dyDescent="0.25">
      <c r="A226" t="s">
        <v>590</v>
      </c>
      <c r="B226" t="s">
        <v>294</v>
      </c>
      <c r="C226" t="s">
        <v>223</v>
      </c>
      <c r="D226" s="8">
        <v>46184</v>
      </c>
      <c r="E226" t="s">
        <v>113</v>
      </c>
      <c r="F226" t="s">
        <v>119</v>
      </c>
      <c r="G226" t="s">
        <v>23</v>
      </c>
      <c r="H226" t="s">
        <v>143</v>
      </c>
      <c r="I226" t="s">
        <v>177</v>
      </c>
      <c r="J226" t="s">
        <v>29</v>
      </c>
      <c r="K226">
        <v>7</v>
      </c>
      <c r="L226">
        <v>145344</v>
      </c>
      <c r="M226">
        <v>0</v>
      </c>
      <c r="N226" t="s">
        <v>137</v>
      </c>
      <c r="O226" t="s">
        <v>149</v>
      </c>
      <c r="P226" t="s">
        <v>156</v>
      </c>
      <c r="Q226" t="s">
        <v>1318</v>
      </c>
    </row>
    <row r="227" spans="1:17" x14ac:dyDescent="0.25">
      <c r="A227" t="s">
        <v>591</v>
      </c>
      <c r="B227" t="s">
        <v>429</v>
      </c>
      <c r="C227" t="s">
        <v>164</v>
      </c>
      <c r="D227" s="8">
        <v>46174</v>
      </c>
      <c r="E227" t="s">
        <v>113</v>
      </c>
      <c r="F227" t="s">
        <v>31</v>
      </c>
      <c r="G227" t="s">
        <v>31</v>
      </c>
      <c r="H227" t="s">
        <v>1315</v>
      </c>
      <c r="I227" t="s">
        <v>177</v>
      </c>
      <c r="J227" t="s">
        <v>29</v>
      </c>
      <c r="K227">
        <v>2</v>
      </c>
      <c r="L227">
        <v>2422031</v>
      </c>
      <c r="M227">
        <v>15000</v>
      </c>
      <c r="N227" t="s">
        <v>137</v>
      </c>
      <c r="O227" t="s">
        <v>138</v>
      </c>
      <c r="P227" t="s">
        <v>156</v>
      </c>
      <c r="Q227" t="s">
        <v>21</v>
      </c>
    </row>
    <row r="228" spans="1:17" x14ac:dyDescent="0.25">
      <c r="A228" t="s">
        <v>592</v>
      </c>
      <c r="B228" t="s">
        <v>255</v>
      </c>
      <c r="C228" t="s">
        <v>33</v>
      </c>
      <c r="D228" s="8">
        <v>46068</v>
      </c>
      <c r="E228" t="s">
        <v>114</v>
      </c>
      <c r="F228" t="s">
        <v>18</v>
      </c>
      <c r="G228" t="s">
        <v>18</v>
      </c>
      <c r="H228" t="s">
        <v>1315</v>
      </c>
      <c r="I228" t="s">
        <v>39</v>
      </c>
      <c r="J228" t="s">
        <v>20</v>
      </c>
      <c r="K228">
        <v>3</v>
      </c>
      <c r="L228">
        <v>1164253</v>
      </c>
      <c r="M228">
        <v>25000</v>
      </c>
      <c r="N228" t="s">
        <v>137</v>
      </c>
      <c r="O228" t="s">
        <v>149</v>
      </c>
      <c r="P228" t="s">
        <v>139</v>
      </c>
      <c r="Q228" t="s">
        <v>21</v>
      </c>
    </row>
    <row r="229" spans="1:17" x14ac:dyDescent="0.25">
      <c r="A229" t="s">
        <v>593</v>
      </c>
      <c r="B229" t="s">
        <v>413</v>
      </c>
      <c r="C229" t="s">
        <v>210</v>
      </c>
      <c r="D229" s="8">
        <v>46119</v>
      </c>
      <c r="E229" t="s">
        <v>117</v>
      </c>
      <c r="F229" t="s">
        <v>31</v>
      </c>
      <c r="G229" t="s">
        <v>31</v>
      </c>
      <c r="H229" t="s">
        <v>143</v>
      </c>
      <c r="I229" t="s">
        <v>39</v>
      </c>
      <c r="J229" t="s">
        <v>20</v>
      </c>
      <c r="K229">
        <v>4</v>
      </c>
      <c r="L229">
        <v>823661</v>
      </c>
      <c r="M229">
        <v>35000</v>
      </c>
      <c r="N229" t="s">
        <v>137</v>
      </c>
      <c r="O229" t="s">
        <v>138</v>
      </c>
      <c r="P229" t="s">
        <v>139</v>
      </c>
      <c r="Q229" t="s">
        <v>21</v>
      </c>
    </row>
    <row r="230" spans="1:17" x14ac:dyDescent="0.25">
      <c r="A230" t="s">
        <v>594</v>
      </c>
      <c r="B230" t="s">
        <v>595</v>
      </c>
      <c r="C230" t="s">
        <v>441</v>
      </c>
      <c r="D230" s="8">
        <v>46044</v>
      </c>
      <c r="E230" t="s">
        <v>116</v>
      </c>
      <c r="F230" t="s">
        <v>34</v>
      </c>
      <c r="G230" t="s">
        <v>34</v>
      </c>
      <c r="H230" t="s">
        <v>28</v>
      </c>
      <c r="I230" t="s">
        <v>39</v>
      </c>
      <c r="J230" t="s">
        <v>25</v>
      </c>
      <c r="K230">
        <v>5</v>
      </c>
      <c r="L230">
        <v>1379262</v>
      </c>
      <c r="M230">
        <v>50000</v>
      </c>
      <c r="N230" t="s">
        <v>262</v>
      </c>
      <c r="O230" t="s">
        <v>138</v>
      </c>
      <c r="P230" t="s">
        <v>139</v>
      </c>
      <c r="Q230" t="s">
        <v>21</v>
      </c>
    </row>
    <row r="231" spans="1:17" x14ac:dyDescent="0.25">
      <c r="A231" t="s">
        <v>596</v>
      </c>
      <c r="B231" t="s">
        <v>374</v>
      </c>
      <c r="C231" t="s">
        <v>202</v>
      </c>
      <c r="D231" s="8">
        <v>46119</v>
      </c>
      <c r="E231" t="s">
        <v>117</v>
      </c>
      <c r="F231" t="s">
        <v>31</v>
      </c>
      <c r="G231" t="s">
        <v>31</v>
      </c>
      <c r="H231" t="s">
        <v>143</v>
      </c>
      <c r="I231" t="s">
        <v>177</v>
      </c>
      <c r="J231" t="s">
        <v>29</v>
      </c>
      <c r="K231">
        <v>4</v>
      </c>
      <c r="L231">
        <v>2477794</v>
      </c>
      <c r="M231">
        <v>50000</v>
      </c>
      <c r="N231" t="s">
        <v>137</v>
      </c>
      <c r="O231" t="s">
        <v>161</v>
      </c>
      <c r="P231" t="s">
        <v>156</v>
      </c>
      <c r="Q231" t="s">
        <v>21</v>
      </c>
    </row>
    <row r="232" spans="1:17" x14ac:dyDescent="0.25">
      <c r="A232" t="s">
        <v>597</v>
      </c>
      <c r="B232" t="s">
        <v>276</v>
      </c>
      <c r="C232" t="s">
        <v>277</v>
      </c>
      <c r="D232" s="8">
        <v>46151</v>
      </c>
      <c r="E232" t="s">
        <v>26</v>
      </c>
      <c r="F232" t="s">
        <v>34</v>
      </c>
      <c r="G232" t="s">
        <v>34</v>
      </c>
      <c r="H232" t="s">
        <v>28</v>
      </c>
      <c r="I232" t="s">
        <v>39</v>
      </c>
      <c r="J232" t="s">
        <v>25</v>
      </c>
      <c r="K232">
        <v>4</v>
      </c>
      <c r="L232">
        <v>1689751</v>
      </c>
      <c r="M232">
        <v>35000</v>
      </c>
      <c r="N232" t="s">
        <v>43</v>
      </c>
      <c r="O232" t="s">
        <v>149</v>
      </c>
      <c r="P232" t="s">
        <v>156</v>
      </c>
      <c r="Q232" t="s">
        <v>21</v>
      </c>
    </row>
    <row r="233" spans="1:17" x14ac:dyDescent="0.25">
      <c r="A233" t="s">
        <v>598</v>
      </c>
      <c r="B233" t="s">
        <v>599</v>
      </c>
      <c r="C233" t="s">
        <v>22</v>
      </c>
      <c r="D233" s="8">
        <v>46032</v>
      </c>
      <c r="E233" t="s">
        <v>116</v>
      </c>
      <c r="F233" t="s">
        <v>34</v>
      </c>
      <c r="G233" t="s">
        <v>34</v>
      </c>
      <c r="H233" t="s">
        <v>1315</v>
      </c>
      <c r="I233" t="s">
        <v>147</v>
      </c>
      <c r="J233" t="s">
        <v>32</v>
      </c>
      <c r="K233">
        <v>5</v>
      </c>
      <c r="L233">
        <v>642096</v>
      </c>
      <c r="M233">
        <v>35000</v>
      </c>
      <c r="N233" t="s">
        <v>137</v>
      </c>
      <c r="O233" t="s">
        <v>138</v>
      </c>
      <c r="P233" t="s">
        <v>139</v>
      </c>
      <c r="Q233" t="s">
        <v>21</v>
      </c>
    </row>
    <row r="234" spans="1:17" x14ac:dyDescent="0.25">
      <c r="A234" t="s">
        <v>600</v>
      </c>
      <c r="B234" t="s">
        <v>601</v>
      </c>
      <c r="C234" t="s">
        <v>176</v>
      </c>
      <c r="D234" s="8">
        <v>46037</v>
      </c>
      <c r="E234" t="s">
        <v>116</v>
      </c>
      <c r="F234" t="s">
        <v>34</v>
      </c>
      <c r="G234" t="s">
        <v>34</v>
      </c>
      <c r="H234" t="s">
        <v>160</v>
      </c>
      <c r="I234" t="s">
        <v>169</v>
      </c>
      <c r="J234" t="s">
        <v>29</v>
      </c>
      <c r="K234">
        <v>6</v>
      </c>
      <c r="L234">
        <v>1736204</v>
      </c>
      <c r="M234">
        <v>35000</v>
      </c>
      <c r="N234" t="s">
        <v>137</v>
      </c>
      <c r="O234" t="s">
        <v>138</v>
      </c>
      <c r="P234" t="s">
        <v>139</v>
      </c>
      <c r="Q234" t="s">
        <v>21</v>
      </c>
    </row>
    <row r="235" spans="1:17" x14ac:dyDescent="0.25">
      <c r="A235" t="s">
        <v>602</v>
      </c>
      <c r="B235" t="s">
        <v>145</v>
      </c>
      <c r="C235" t="s">
        <v>146</v>
      </c>
      <c r="D235" s="8">
        <v>46139</v>
      </c>
      <c r="E235" t="s">
        <v>117</v>
      </c>
      <c r="F235" t="s">
        <v>18</v>
      </c>
      <c r="G235" t="s">
        <v>18</v>
      </c>
      <c r="H235" t="s">
        <v>160</v>
      </c>
      <c r="I235" t="s">
        <v>173</v>
      </c>
      <c r="J235" t="s">
        <v>20</v>
      </c>
      <c r="K235">
        <v>2</v>
      </c>
      <c r="L235">
        <v>738103</v>
      </c>
      <c r="M235">
        <v>25000</v>
      </c>
      <c r="N235" t="s">
        <v>137</v>
      </c>
      <c r="O235" t="s">
        <v>149</v>
      </c>
      <c r="P235" t="s">
        <v>139</v>
      </c>
      <c r="Q235" t="s">
        <v>21</v>
      </c>
    </row>
    <row r="236" spans="1:17" x14ac:dyDescent="0.25">
      <c r="A236" t="s">
        <v>603</v>
      </c>
      <c r="B236" t="s">
        <v>413</v>
      </c>
      <c r="C236" t="s">
        <v>210</v>
      </c>
      <c r="D236" s="8">
        <v>46203</v>
      </c>
      <c r="E236" t="s">
        <v>113</v>
      </c>
      <c r="F236" t="s">
        <v>34</v>
      </c>
      <c r="G236" t="s">
        <v>34</v>
      </c>
      <c r="H236" t="s">
        <v>28</v>
      </c>
      <c r="I236" t="s">
        <v>147</v>
      </c>
      <c r="J236" t="s">
        <v>25</v>
      </c>
      <c r="K236">
        <v>2</v>
      </c>
      <c r="L236">
        <v>457005</v>
      </c>
      <c r="M236">
        <v>50000</v>
      </c>
      <c r="N236" t="s">
        <v>148</v>
      </c>
      <c r="O236" t="s">
        <v>165</v>
      </c>
      <c r="P236" t="s">
        <v>139</v>
      </c>
      <c r="Q236" t="s">
        <v>21</v>
      </c>
    </row>
    <row r="237" spans="1:17" x14ac:dyDescent="0.25">
      <c r="A237" t="s">
        <v>604</v>
      </c>
      <c r="B237" t="s">
        <v>605</v>
      </c>
      <c r="C237" t="s">
        <v>314</v>
      </c>
      <c r="D237" s="8">
        <v>46045</v>
      </c>
      <c r="E237" t="s">
        <v>116</v>
      </c>
      <c r="F237" t="s">
        <v>18</v>
      </c>
      <c r="G237" t="s">
        <v>18</v>
      </c>
      <c r="H237" t="s">
        <v>28</v>
      </c>
      <c r="I237" t="s">
        <v>169</v>
      </c>
      <c r="J237" t="s">
        <v>25</v>
      </c>
      <c r="K237">
        <v>7</v>
      </c>
      <c r="L237">
        <v>578328</v>
      </c>
      <c r="M237">
        <v>50000</v>
      </c>
      <c r="N237" t="s">
        <v>148</v>
      </c>
      <c r="O237" t="s">
        <v>138</v>
      </c>
      <c r="P237" t="s">
        <v>156</v>
      </c>
      <c r="Q237" t="s">
        <v>21</v>
      </c>
    </row>
    <row r="238" spans="1:17" x14ac:dyDescent="0.25">
      <c r="A238" t="s">
        <v>606</v>
      </c>
      <c r="B238" t="s">
        <v>556</v>
      </c>
      <c r="C238" t="s">
        <v>231</v>
      </c>
      <c r="D238" s="8">
        <v>46178</v>
      </c>
      <c r="E238" t="s">
        <v>113</v>
      </c>
      <c r="F238" t="s">
        <v>31</v>
      </c>
      <c r="G238" t="s">
        <v>31</v>
      </c>
      <c r="H238" t="s">
        <v>1315</v>
      </c>
      <c r="I238" t="s">
        <v>169</v>
      </c>
      <c r="J238" t="s">
        <v>32</v>
      </c>
      <c r="K238">
        <v>1</v>
      </c>
      <c r="L238">
        <v>126621</v>
      </c>
      <c r="M238">
        <v>0</v>
      </c>
      <c r="N238" t="s">
        <v>137</v>
      </c>
      <c r="O238" t="s">
        <v>138</v>
      </c>
      <c r="P238" t="s">
        <v>156</v>
      </c>
      <c r="Q238" t="s">
        <v>1318</v>
      </c>
    </row>
    <row r="239" spans="1:17" x14ac:dyDescent="0.25">
      <c r="A239" t="s">
        <v>607</v>
      </c>
      <c r="B239" t="s">
        <v>540</v>
      </c>
      <c r="C239" t="s">
        <v>33</v>
      </c>
      <c r="D239" s="8">
        <v>46118</v>
      </c>
      <c r="E239" t="s">
        <v>117</v>
      </c>
      <c r="F239" t="s">
        <v>23</v>
      </c>
      <c r="G239" t="s">
        <v>23</v>
      </c>
      <c r="H239" t="s">
        <v>28</v>
      </c>
      <c r="I239" t="s">
        <v>147</v>
      </c>
      <c r="J239" t="s">
        <v>29</v>
      </c>
      <c r="K239">
        <v>2</v>
      </c>
      <c r="L239">
        <v>901818</v>
      </c>
      <c r="M239">
        <v>15000</v>
      </c>
      <c r="N239" t="s">
        <v>137</v>
      </c>
      <c r="O239" t="s">
        <v>407</v>
      </c>
      <c r="P239" t="s">
        <v>156</v>
      </c>
      <c r="Q239" t="s">
        <v>21</v>
      </c>
    </row>
    <row r="240" spans="1:17" x14ac:dyDescent="0.25">
      <c r="A240" t="s">
        <v>608</v>
      </c>
      <c r="B240" t="s">
        <v>316</v>
      </c>
      <c r="C240" t="s">
        <v>317</v>
      </c>
      <c r="D240" s="8">
        <v>46038</v>
      </c>
      <c r="E240" t="s">
        <v>116</v>
      </c>
      <c r="F240" t="s">
        <v>27</v>
      </c>
      <c r="G240" t="s">
        <v>27</v>
      </c>
      <c r="H240" t="s">
        <v>160</v>
      </c>
      <c r="I240" t="s">
        <v>169</v>
      </c>
      <c r="J240" t="s">
        <v>29</v>
      </c>
      <c r="K240">
        <v>3</v>
      </c>
      <c r="L240">
        <v>886422</v>
      </c>
      <c r="M240">
        <v>15000</v>
      </c>
      <c r="N240" t="s">
        <v>37</v>
      </c>
      <c r="O240" t="s">
        <v>165</v>
      </c>
      <c r="P240" t="s">
        <v>156</v>
      </c>
      <c r="Q240" t="s">
        <v>21</v>
      </c>
    </row>
    <row r="241" spans="1:17" x14ac:dyDescent="0.25">
      <c r="A241" t="s">
        <v>609</v>
      </c>
      <c r="B241" t="s">
        <v>403</v>
      </c>
      <c r="C241" t="s">
        <v>404</v>
      </c>
      <c r="D241" s="8">
        <v>46044</v>
      </c>
      <c r="E241" t="s">
        <v>116</v>
      </c>
      <c r="F241" t="s">
        <v>18</v>
      </c>
      <c r="G241" t="s">
        <v>18</v>
      </c>
      <c r="H241" t="s">
        <v>28</v>
      </c>
      <c r="I241" t="s">
        <v>39</v>
      </c>
      <c r="J241" t="s">
        <v>20</v>
      </c>
      <c r="K241">
        <v>3</v>
      </c>
      <c r="L241">
        <v>1704308</v>
      </c>
      <c r="M241">
        <v>0</v>
      </c>
      <c r="N241" t="s">
        <v>137</v>
      </c>
      <c r="O241" t="s">
        <v>161</v>
      </c>
      <c r="P241" t="s">
        <v>156</v>
      </c>
      <c r="Q241" t="s">
        <v>1318</v>
      </c>
    </row>
    <row r="242" spans="1:17" x14ac:dyDescent="0.25">
      <c r="A242" t="s">
        <v>610</v>
      </c>
      <c r="B242" t="s">
        <v>489</v>
      </c>
      <c r="C242" t="s">
        <v>452</v>
      </c>
      <c r="D242" s="8">
        <v>46091</v>
      </c>
      <c r="E242" t="s">
        <v>115</v>
      </c>
      <c r="F242" t="s">
        <v>23</v>
      </c>
      <c r="G242" t="s">
        <v>23</v>
      </c>
      <c r="H242" t="s">
        <v>28</v>
      </c>
      <c r="I242" t="s">
        <v>147</v>
      </c>
      <c r="J242" t="s">
        <v>35</v>
      </c>
      <c r="K242">
        <v>7</v>
      </c>
      <c r="L242">
        <v>150310</v>
      </c>
      <c r="M242">
        <v>50000</v>
      </c>
      <c r="N242" t="s">
        <v>37</v>
      </c>
      <c r="O242" t="s">
        <v>165</v>
      </c>
      <c r="P242" t="s">
        <v>139</v>
      </c>
      <c r="Q242" t="s">
        <v>21</v>
      </c>
    </row>
    <row r="243" spans="1:17" x14ac:dyDescent="0.25">
      <c r="A243" t="s">
        <v>611</v>
      </c>
      <c r="B243" t="s">
        <v>612</v>
      </c>
      <c r="C243" t="s">
        <v>205</v>
      </c>
      <c r="D243" s="8">
        <v>46147</v>
      </c>
      <c r="E243" t="s">
        <v>26</v>
      </c>
      <c r="F243" t="s">
        <v>34</v>
      </c>
      <c r="G243" t="s">
        <v>34</v>
      </c>
      <c r="H243" t="s">
        <v>1315</v>
      </c>
      <c r="I243" t="s">
        <v>177</v>
      </c>
      <c r="J243" t="s">
        <v>25</v>
      </c>
      <c r="K243">
        <v>5</v>
      </c>
      <c r="L243">
        <v>2104877</v>
      </c>
      <c r="M243">
        <v>25000</v>
      </c>
      <c r="N243" t="s">
        <v>137</v>
      </c>
      <c r="O243" t="s">
        <v>138</v>
      </c>
      <c r="P243" t="s">
        <v>139</v>
      </c>
      <c r="Q243" t="s">
        <v>21</v>
      </c>
    </row>
    <row r="244" spans="1:17" x14ac:dyDescent="0.25">
      <c r="A244" t="s">
        <v>613</v>
      </c>
      <c r="B244" t="s">
        <v>614</v>
      </c>
      <c r="C244" t="s">
        <v>22</v>
      </c>
      <c r="D244" s="8">
        <v>46179</v>
      </c>
      <c r="E244" t="s">
        <v>113</v>
      </c>
      <c r="F244" t="s">
        <v>31</v>
      </c>
      <c r="G244" t="s">
        <v>31</v>
      </c>
      <c r="H244" t="s">
        <v>28</v>
      </c>
      <c r="I244" t="s">
        <v>169</v>
      </c>
      <c r="J244" t="s">
        <v>29</v>
      </c>
      <c r="K244">
        <v>7</v>
      </c>
      <c r="L244">
        <v>360088</v>
      </c>
      <c r="M244">
        <v>25000</v>
      </c>
      <c r="N244" t="s">
        <v>214</v>
      </c>
      <c r="O244" t="s">
        <v>161</v>
      </c>
      <c r="P244" t="s">
        <v>156</v>
      </c>
      <c r="Q244" t="s">
        <v>21</v>
      </c>
    </row>
    <row r="245" spans="1:17" x14ac:dyDescent="0.25">
      <c r="A245" t="s">
        <v>615</v>
      </c>
      <c r="B245" t="s">
        <v>145</v>
      </c>
      <c r="C245" t="s">
        <v>146</v>
      </c>
      <c r="D245" s="8">
        <v>46054</v>
      </c>
      <c r="E245" t="s">
        <v>114</v>
      </c>
      <c r="F245" t="s">
        <v>31</v>
      </c>
      <c r="G245" t="s">
        <v>31</v>
      </c>
      <c r="H245" t="s">
        <v>28</v>
      </c>
      <c r="I245" t="s">
        <v>147</v>
      </c>
      <c r="J245" t="s">
        <v>32</v>
      </c>
      <c r="K245">
        <v>6</v>
      </c>
      <c r="L245" t="s">
        <v>616</v>
      </c>
      <c r="M245">
        <v>25000</v>
      </c>
      <c r="N245" t="s">
        <v>137</v>
      </c>
      <c r="O245" t="s">
        <v>161</v>
      </c>
      <c r="P245" t="s">
        <v>156</v>
      </c>
      <c r="Q245" t="s">
        <v>21</v>
      </c>
    </row>
    <row r="246" spans="1:17" x14ac:dyDescent="0.25">
      <c r="A246" t="s">
        <v>617</v>
      </c>
      <c r="B246" t="s">
        <v>618</v>
      </c>
      <c r="C246" t="s">
        <v>323</v>
      </c>
      <c r="D246" s="8">
        <v>46186</v>
      </c>
      <c r="E246" t="s">
        <v>113</v>
      </c>
      <c r="F246" t="s">
        <v>34</v>
      </c>
      <c r="G246" t="s">
        <v>34</v>
      </c>
      <c r="H246" t="s">
        <v>28</v>
      </c>
      <c r="I246" t="s">
        <v>177</v>
      </c>
      <c r="J246" t="s">
        <v>35</v>
      </c>
      <c r="K246">
        <v>6</v>
      </c>
      <c r="L246">
        <v>1471335</v>
      </c>
      <c r="M246">
        <v>0</v>
      </c>
      <c r="N246" t="s">
        <v>137</v>
      </c>
      <c r="O246" t="s">
        <v>161</v>
      </c>
      <c r="P246" t="s">
        <v>139</v>
      </c>
      <c r="Q246" t="s">
        <v>1318</v>
      </c>
    </row>
    <row r="247" spans="1:17" x14ac:dyDescent="0.25">
      <c r="A247" t="s">
        <v>619</v>
      </c>
      <c r="B247" t="s">
        <v>620</v>
      </c>
      <c r="C247" t="s">
        <v>277</v>
      </c>
      <c r="D247" s="8">
        <v>46179</v>
      </c>
      <c r="E247" t="s">
        <v>113</v>
      </c>
      <c r="F247" t="s">
        <v>31</v>
      </c>
      <c r="G247" t="s">
        <v>31</v>
      </c>
      <c r="H247" t="s">
        <v>160</v>
      </c>
      <c r="I247" t="s">
        <v>169</v>
      </c>
      <c r="J247" t="s">
        <v>32</v>
      </c>
      <c r="K247">
        <v>4</v>
      </c>
      <c r="L247">
        <v>461287</v>
      </c>
      <c r="M247">
        <v>25000</v>
      </c>
      <c r="N247" t="s">
        <v>43</v>
      </c>
      <c r="O247" t="s">
        <v>149</v>
      </c>
      <c r="P247" t="s">
        <v>139</v>
      </c>
      <c r="Q247" t="s">
        <v>21</v>
      </c>
    </row>
    <row r="248" spans="1:17" x14ac:dyDescent="0.25">
      <c r="A248" t="s">
        <v>621</v>
      </c>
      <c r="B248" t="s">
        <v>622</v>
      </c>
      <c r="C248" t="s">
        <v>623</v>
      </c>
      <c r="D248" s="8">
        <v>46072</v>
      </c>
      <c r="E248" t="s">
        <v>114</v>
      </c>
      <c r="F248" t="s">
        <v>31</v>
      </c>
      <c r="G248" t="s">
        <v>31</v>
      </c>
      <c r="H248" t="s">
        <v>160</v>
      </c>
      <c r="I248" t="s">
        <v>136</v>
      </c>
      <c r="J248" t="s">
        <v>35</v>
      </c>
      <c r="K248">
        <v>5</v>
      </c>
      <c r="L248">
        <v>720462</v>
      </c>
      <c r="M248">
        <v>50000</v>
      </c>
      <c r="N248" t="s">
        <v>148</v>
      </c>
      <c r="O248" t="s">
        <v>161</v>
      </c>
      <c r="P248" t="s">
        <v>139</v>
      </c>
      <c r="Q248" t="s">
        <v>21</v>
      </c>
    </row>
    <row r="249" spans="1:17" x14ac:dyDescent="0.25">
      <c r="A249" t="s">
        <v>624</v>
      </c>
      <c r="B249" t="s">
        <v>556</v>
      </c>
      <c r="C249" t="s">
        <v>231</v>
      </c>
      <c r="D249" s="8">
        <v>46137</v>
      </c>
      <c r="E249" t="s">
        <v>117</v>
      </c>
      <c r="F249" t="s">
        <v>18</v>
      </c>
      <c r="G249" t="s">
        <v>18</v>
      </c>
      <c r="H249" t="s">
        <v>160</v>
      </c>
      <c r="I249" t="s">
        <v>173</v>
      </c>
      <c r="J249" t="s">
        <v>32</v>
      </c>
      <c r="K249">
        <v>6</v>
      </c>
      <c r="L249">
        <v>605191</v>
      </c>
      <c r="M249">
        <v>35000</v>
      </c>
      <c r="N249" t="s">
        <v>137</v>
      </c>
      <c r="O249" t="s">
        <v>161</v>
      </c>
      <c r="P249" t="s">
        <v>156</v>
      </c>
      <c r="Q249" t="s">
        <v>21</v>
      </c>
    </row>
    <row r="250" spans="1:17" x14ac:dyDescent="0.25">
      <c r="A250" t="s">
        <v>625</v>
      </c>
      <c r="B250" t="s">
        <v>626</v>
      </c>
      <c r="C250" t="s">
        <v>135</v>
      </c>
      <c r="D250" s="8">
        <v>46106</v>
      </c>
      <c r="E250" t="s">
        <v>115</v>
      </c>
      <c r="F250" t="s">
        <v>23</v>
      </c>
      <c r="G250" t="s">
        <v>23</v>
      </c>
      <c r="H250" t="s">
        <v>143</v>
      </c>
      <c r="I250" t="s">
        <v>147</v>
      </c>
      <c r="J250" t="s">
        <v>32</v>
      </c>
      <c r="K250">
        <v>2</v>
      </c>
      <c r="L250">
        <v>1728472</v>
      </c>
      <c r="M250">
        <v>25000</v>
      </c>
      <c r="N250" t="s">
        <v>137</v>
      </c>
      <c r="O250" t="s">
        <v>138</v>
      </c>
      <c r="P250" t="s">
        <v>156</v>
      </c>
      <c r="Q250" t="s">
        <v>21</v>
      </c>
    </row>
    <row r="251" spans="1:17" x14ac:dyDescent="0.25">
      <c r="A251" t="s">
        <v>627</v>
      </c>
      <c r="B251" t="s">
        <v>519</v>
      </c>
      <c r="C251" t="s">
        <v>240</v>
      </c>
      <c r="D251" s="8">
        <v>25569</v>
      </c>
      <c r="E251" t="s">
        <v>116</v>
      </c>
      <c r="F251" t="s">
        <v>34</v>
      </c>
      <c r="G251" t="s">
        <v>34</v>
      </c>
      <c r="H251" t="s">
        <v>28</v>
      </c>
      <c r="I251" t="s">
        <v>169</v>
      </c>
      <c r="J251" t="s">
        <v>32</v>
      </c>
      <c r="K251">
        <v>5</v>
      </c>
      <c r="L251">
        <v>1515869</v>
      </c>
      <c r="M251">
        <v>15000</v>
      </c>
      <c r="N251" t="s">
        <v>137</v>
      </c>
      <c r="O251" t="s">
        <v>138</v>
      </c>
      <c r="P251" t="s">
        <v>139</v>
      </c>
      <c r="Q251" t="s">
        <v>121</v>
      </c>
    </row>
    <row r="252" spans="1:17" x14ac:dyDescent="0.25">
      <c r="A252" t="s">
        <v>628</v>
      </c>
      <c r="B252" t="s">
        <v>629</v>
      </c>
      <c r="C252" t="s">
        <v>441</v>
      </c>
      <c r="D252" s="8">
        <v>46082</v>
      </c>
      <c r="E252" t="s">
        <v>115</v>
      </c>
      <c r="F252" t="s">
        <v>34</v>
      </c>
      <c r="G252" t="s">
        <v>34</v>
      </c>
      <c r="H252" t="s">
        <v>143</v>
      </c>
      <c r="I252" t="s">
        <v>169</v>
      </c>
      <c r="J252" t="s">
        <v>20</v>
      </c>
      <c r="K252">
        <v>1</v>
      </c>
      <c r="L252">
        <v>1057640</v>
      </c>
      <c r="M252">
        <v>25000</v>
      </c>
      <c r="N252" t="s">
        <v>137</v>
      </c>
      <c r="O252" t="s">
        <v>161</v>
      </c>
      <c r="P252" t="s">
        <v>139</v>
      </c>
      <c r="Q252" t="s">
        <v>21</v>
      </c>
    </row>
    <row r="253" spans="1:17" x14ac:dyDescent="0.25">
      <c r="A253" t="s">
        <v>630</v>
      </c>
      <c r="B253" t="s">
        <v>141</v>
      </c>
      <c r="C253" t="s">
        <v>142</v>
      </c>
      <c r="D253" s="8">
        <v>46103</v>
      </c>
      <c r="E253" t="s">
        <v>115</v>
      </c>
      <c r="F253" t="s">
        <v>27</v>
      </c>
      <c r="G253" t="s">
        <v>27</v>
      </c>
      <c r="H253" t="s">
        <v>143</v>
      </c>
      <c r="I253" t="s">
        <v>39</v>
      </c>
      <c r="J253" t="s">
        <v>32</v>
      </c>
      <c r="K253">
        <v>6</v>
      </c>
      <c r="L253">
        <v>1714653</v>
      </c>
      <c r="M253">
        <v>50000</v>
      </c>
      <c r="N253" t="s">
        <v>137</v>
      </c>
      <c r="O253" t="s">
        <v>161</v>
      </c>
      <c r="P253" t="s">
        <v>139</v>
      </c>
      <c r="Q253" t="s">
        <v>21</v>
      </c>
    </row>
    <row r="254" spans="1:17" x14ac:dyDescent="0.25">
      <c r="A254" t="s">
        <v>631</v>
      </c>
      <c r="B254" t="s">
        <v>632</v>
      </c>
      <c r="C254" t="s">
        <v>314</v>
      </c>
      <c r="D254" s="8">
        <v>46116</v>
      </c>
      <c r="E254" t="s">
        <v>117</v>
      </c>
      <c r="F254" t="s">
        <v>31</v>
      </c>
      <c r="G254" t="s">
        <v>31</v>
      </c>
      <c r="H254" t="s">
        <v>160</v>
      </c>
      <c r="I254" t="s">
        <v>147</v>
      </c>
      <c r="J254" t="s">
        <v>32</v>
      </c>
      <c r="K254">
        <v>6</v>
      </c>
      <c r="L254">
        <v>649771</v>
      </c>
      <c r="M254">
        <v>50000</v>
      </c>
      <c r="N254" t="s">
        <v>137</v>
      </c>
      <c r="O254" t="s">
        <v>161</v>
      </c>
      <c r="P254" t="s">
        <v>139</v>
      </c>
      <c r="Q254" t="s">
        <v>21</v>
      </c>
    </row>
    <row r="255" spans="1:17" x14ac:dyDescent="0.25">
      <c r="A255" t="s">
        <v>633</v>
      </c>
      <c r="B255" t="s">
        <v>219</v>
      </c>
      <c r="C255" t="s">
        <v>220</v>
      </c>
      <c r="D255" s="8">
        <v>46098</v>
      </c>
      <c r="E255" t="s">
        <v>115</v>
      </c>
      <c r="F255" t="s">
        <v>18</v>
      </c>
      <c r="G255" t="s">
        <v>18</v>
      </c>
      <c r="H255" t="s">
        <v>160</v>
      </c>
      <c r="I255" t="s">
        <v>147</v>
      </c>
      <c r="J255" t="s">
        <v>25</v>
      </c>
      <c r="K255">
        <v>6</v>
      </c>
      <c r="L255">
        <v>1038150</v>
      </c>
      <c r="M255">
        <v>35000</v>
      </c>
      <c r="N255" t="s">
        <v>137</v>
      </c>
      <c r="O255" t="s">
        <v>138</v>
      </c>
      <c r="P255" t="s">
        <v>139</v>
      </c>
      <c r="Q255" t="s">
        <v>21</v>
      </c>
    </row>
    <row r="256" spans="1:17" x14ac:dyDescent="0.25">
      <c r="A256" t="s">
        <v>634</v>
      </c>
      <c r="B256" t="s">
        <v>635</v>
      </c>
      <c r="C256" t="s">
        <v>261</v>
      </c>
      <c r="D256" s="8">
        <v>46199</v>
      </c>
      <c r="E256" t="s">
        <v>113</v>
      </c>
      <c r="F256" t="s">
        <v>18</v>
      </c>
      <c r="G256" t="s">
        <v>18</v>
      </c>
      <c r="H256" t="s">
        <v>28</v>
      </c>
      <c r="I256" t="s">
        <v>136</v>
      </c>
      <c r="J256" t="s">
        <v>32</v>
      </c>
      <c r="K256">
        <v>7</v>
      </c>
      <c r="L256">
        <v>637845</v>
      </c>
      <c r="M256">
        <v>25000</v>
      </c>
      <c r="N256" t="s">
        <v>137</v>
      </c>
      <c r="O256" t="s">
        <v>138</v>
      </c>
      <c r="P256" t="s">
        <v>156</v>
      </c>
      <c r="Q256" t="s">
        <v>21</v>
      </c>
    </row>
    <row r="257" spans="1:17" x14ac:dyDescent="0.25">
      <c r="A257" t="s">
        <v>636</v>
      </c>
      <c r="B257" t="s">
        <v>291</v>
      </c>
      <c r="C257" t="s">
        <v>292</v>
      </c>
      <c r="D257" s="8">
        <v>46108</v>
      </c>
      <c r="E257" t="s">
        <v>115</v>
      </c>
      <c r="F257" t="s">
        <v>23</v>
      </c>
      <c r="G257" t="s">
        <v>23</v>
      </c>
      <c r="H257" t="s">
        <v>143</v>
      </c>
      <c r="I257" t="s">
        <v>39</v>
      </c>
      <c r="J257" t="s">
        <v>32</v>
      </c>
      <c r="K257">
        <v>7</v>
      </c>
      <c r="L257">
        <v>760479</v>
      </c>
      <c r="M257">
        <v>15000</v>
      </c>
      <c r="N257" t="s">
        <v>137</v>
      </c>
      <c r="O257" t="s">
        <v>165</v>
      </c>
      <c r="P257" t="s">
        <v>139</v>
      </c>
      <c r="Q257" t="s">
        <v>21</v>
      </c>
    </row>
    <row r="258" spans="1:17" x14ac:dyDescent="0.25">
      <c r="A258" t="s">
        <v>637</v>
      </c>
      <c r="B258" t="s">
        <v>638</v>
      </c>
      <c r="C258" t="s">
        <v>287</v>
      </c>
      <c r="D258" s="8">
        <v>46191</v>
      </c>
      <c r="E258" t="s">
        <v>113</v>
      </c>
      <c r="F258" t="s">
        <v>31</v>
      </c>
      <c r="G258" t="s">
        <v>31</v>
      </c>
      <c r="H258" t="s">
        <v>1315</v>
      </c>
      <c r="I258" t="s">
        <v>39</v>
      </c>
      <c r="J258" t="s">
        <v>32</v>
      </c>
      <c r="K258">
        <v>5</v>
      </c>
      <c r="L258">
        <v>787704</v>
      </c>
      <c r="M258">
        <v>0</v>
      </c>
      <c r="N258" t="s">
        <v>137</v>
      </c>
      <c r="O258" t="s">
        <v>138</v>
      </c>
      <c r="P258" t="s">
        <v>156</v>
      </c>
      <c r="Q258" t="s">
        <v>1318</v>
      </c>
    </row>
    <row r="259" spans="1:17" x14ac:dyDescent="0.25">
      <c r="A259" t="s">
        <v>639</v>
      </c>
      <c r="B259" t="s">
        <v>640</v>
      </c>
      <c r="C259" t="s">
        <v>198</v>
      </c>
      <c r="D259" s="8">
        <v>46095</v>
      </c>
      <c r="E259" t="s">
        <v>115</v>
      </c>
      <c r="F259" t="s">
        <v>27</v>
      </c>
      <c r="G259" t="s">
        <v>27</v>
      </c>
      <c r="H259" t="s">
        <v>160</v>
      </c>
      <c r="I259" t="s">
        <v>169</v>
      </c>
      <c r="J259" t="s">
        <v>25</v>
      </c>
      <c r="K259">
        <v>6</v>
      </c>
      <c r="L259">
        <v>1304320</v>
      </c>
      <c r="M259">
        <v>15000</v>
      </c>
      <c r="N259" t="s">
        <v>148</v>
      </c>
      <c r="O259" t="s">
        <v>138</v>
      </c>
      <c r="P259" t="s">
        <v>139</v>
      </c>
      <c r="Q259" t="s">
        <v>21</v>
      </c>
    </row>
    <row r="260" spans="1:17" x14ac:dyDescent="0.25">
      <c r="A260" t="s">
        <v>641</v>
      </c>
      <c r="B260" t="s">
        <v>642</v>
      </c>
      <c r="C260" t="s">
        <v>272</v>
      </c>
      <c r="D260" s="8">
        <v>46064</v>
      </c>
      <c r="E260" t="s">
        <v>114</v>
      </c>
      <c r="F260" t="s">
        <v>18</v>
      </c>
      <c r="G260" t="s">
        <v>18</v>
      </c>
      <c r="H260" t="s">
        <v>143</v>
      </c>
      <c r="I260" t="s">
        <v>169</v>
      </c>
      <c r="J260" t="s">
        <v>29</v>
      </c>
      <c r="K260">
        <v>6</v>
      </c>
      <c r="L260">
        <v>696972</v>
      </c>
      <c r="M260">
        <v>35000</v>
      </c>
      <c r="N260" t="s">
        <v>137</v>
      </c>
      <c r="O260" t="s">
        <v>165</v>
      </c>
      <c r="P260" t="s">
        <v>156</v>
      </c>
      <c r="Q260" t="s">
        <v>21</v>
      </c>
    </row>
    <row r="261" spans="1:17" x14ac:dyDescent="0.25">
      <c r="A261" t="s">
        <v>643</v>
      </c>
      <c r="B261" t="s">
        <v>644</v>
      </c>
      <c r="C261" t="s">
        <v>337</v>
      </c>
      <c r="D261" s="8">
        <v>46170</v>
      </c>
      <c r="E261" t="s">
        <v>26</v>
      </c>
      <c r="F261" t="s">
        <v>23</v>
      </c>
      <c r="G261" t="s">
        <v>23</v>
      </c>
      <c r="H261" t="s">
        <v>160</v>
      </c>
      <c r="I261" t="s">
        <v>136</v>
      </c>
      <c r="J261" t="s">
        <v>32</v>
      </c>
      <c r="K261">
        <v>4</v>
      </c>
      <c r="L261">
        <v>547600</v>
      </c>
      <c r="M261">
        <v>15000</v>
      </c>
      <c r="N261" t="s">
        <v>37</v>
      </c>
      <c r="O261" t="s">
        <v>149</v>
      </c>
      <c r="P261" t="s">
        <v>156</v>
      </c>
      <c r="Q261" t="s">
        <v>21</v>
      </c>
    </row>
    <row r="262" spans="1:17" x14ac:dyDescent="0.25">
      <c r="A262" t="s">
        <v>645</v>
      </c>
      <c r="B262" t="s">
        <v>368</v>
      </c>
      <c r="C262" t="s">
        <v>36</v>
      </c>
      <c r="D262" s="8">
        <v>46053</v>
      </c>
      <c r="E262" t="s">
        <v>116</v>
      </c>
      <c r="F262" t="s">
        <v>31</v>
      </c>
      <c r="G262" t="s">
        <v>31</v>
      </c>
      <c r="H262" t="s">
        <v>143</v>
      </c>
      <c r="I262" t="s">
        <v>173</v>
      </c>
      <c r="J262" t="s">
        <v>20</v>
      </c>
      <c r="K262">
        <v>5</v>
      </c>
      <c r="L262">
        <v>2281891</v>
      </c>
      <c r="M262">
        <v>25000</v>
      </c>
      <c r="N262" t="s">
        <v>137</v>
      </c>
      <c r="O262" t="s">
        <v>161</v>
      </c>
      <c r="P262" t="s">
        <v>156</v>
      </c>
      <c r="Q262" t="s">
        <v>21</v>
      </c>
    </row>
    <row r="263" spans="1:17" x14ac:dyDescent="0.25">
      <c r="A263" t="s">
        <v>646</v>
      </c>
      <c r="B263" t="s">
        <v>413</v>
      </c>
      <c r="C263" t="s">
        <v>210</v>
      </c>
      <c r="D263" s="8">
        <v>46148</v>
      </c>
      <c r="E263" t="s">
        <v>26</v>
      </c>
      <c r="F263" t="s">
        <v>119</v>
      </c>
      <c r="G263" t="s">
        <v>23</v>
      </c>
      <c r="H263" t="s">
        <v>28</v>
      </c>
      <c r="I263" t="s">
        <v>169</v>
      </c>
      <c r="J263" t="s">
        <v>32</v>
      </c>
      <c r="K263">
        <v>2</v>
      </c>
      <c r="L263">
        <v>1389572</v>
      </c>
      <c r="M263">
        <v>50000</v>
      </c>
      <c r="N263" t="s">
        <v>137</v>
      </c>
      <c r="O263" t="s">
        <v>138</v>
      </c>
      <c r="P263" t="s">
        <v>139</v>
      </c>
      <c r="Q263" t="s">
        <v>21</v>
      </c>
    </row>
    <row r="264" spans="1:17" x14ac:dyDescent="0.25">
      <c r="A264" t="s">
        <v>647</v>
      </c>
      <c r="B264" t="s">
        <v>434</v>
      </c>
      <c r="C264" t="s">
        <v>435</v>
      </c>
      <c r="D264" s="8">
        <v>46190</v>
      </c>
      <c r="E264" t="s">
        <v>113</v>
      </c>
      <c r="F264" t="s">
        <v>31</v>
      </c>
      <c r="G264" t="s">
        <v>31</v>
      </c>
      <c r="H264" t="s">
        <v>143</v>
      </c>
      <c r="I264" t="s">
        <v>173</v>
      </c>
      <c r="J264" t="s">
        <v>35</v>
      </c>
      <c r="K264">
        <v>1</v>
      </c>
      <c r="L264">
        <v>1986961</v>
      </c>
      <c r="M264">
        <v>25000</v>
      </c>
      <c r="N264" t="s">
        <v>137</v>
      </c>
      <c r="O264" t="s">
        <v>161</v>
      </c>
      <c r="P264" t="s">
        <v>139</v>
      </c>
      <c r="Q264" t="s">
        <v>21</v>
      </c>
    </row>
    <row r="265" spans="1:17" x14ac:dyDescent="0.25">
      <c r="A265" t="s">
        <v>648</v>
      </c>
      <c r="B265" t="s">
        <v>182</v>
      </c>
      <c r="C265" t="s">
        <v>183</v>
      </c>
      <c r="D265" s="8">
        <v>46200</v>
      </c>
      <c r="E265" t="s">
        <v>113</v>
      </c>
      <c r="F265" t="s">
        <v>31</v>
      </c>
      <c r="G265" t="s">
        <v>31</v>
      </c>
      <c r="H265" t="s">
        <v>1315</v>
      </c>
      <c r="I265" t="s">
        <v>147</v>
      </c>
      <c r="J265" t="s">
        <v>29</v>
      </c>
      <c r="K265">
        <v>2</v>
      </c>
      <c r="L265">
        <v>516585</v>
      </c>
      <c r="M265">
        <v>50000</v>
      </c>
      <c r="N265" t="s">
        <v>137</v>
      </c>
      <c r="O265" t="s">
        <v>149</v>
      </c>
      <c r="P265" t="s">
        <v>156</v>
      </c>
      <c r="Q265" t="s">
        <v>21</v>
      </c>
    </row>
    <row r="266" spans="1:17" x14ac:dyDescent="0.25">
      <c r="A266" t="s">
        <v>649</v>
      </c>
      <c r="B266" t="s">
        <v>650</v>
      </c>
      <c r="C266" t="s">
        <v>435</v>
      </c>
      <c r="D266" s="8">
        <v>46039</v>
      </c>
      <c r="E266" t="s">
        <v>116</v>
      </c>
      <c r="F266" t="s">
        <v>27</v>
      </c>
      <c r="G266" t="s">
        <v>27</v>
      </c>
      <c r="H266" t="s">
        <v>28</v>
      </c>
      <c r="I266" t="s">
        <v>173</v>
      </c>
      <c r="J266" t="s">
        <v>35</v>
      </c>
      <c r="K266">
        <v>4</v>
      </c>
      <c r="L266">
        <v>2374484</v>
      </c>
      <c r="M266">
        <v>15000</v>
      </c>
      <c r="N266" t="s">
        <v>148</v>
      </c>
      <c r="O266" t="s">
        <v>165</v>
      </c>
      <c r="P266" t="s">
        <v>156</v>
      </c>
      <c r="Q266" t="s">
        <v>21</v>
      </c>
    </row>
    <row r="267" spans="1:17" x14ac:dyDescent="0.25">
      <c r="A267" t="s">
        <v>651</v>
      </c>
      <c r="B267" t="s">
        <v>605</v>
      </c>
      <c r="C267" t="s">
        <v>314</v>
      </c>
      <c r="D267" s="8">
        <v>46076</v>
      </c>
      <c r="E267" t="s">
        <v>114</v>
      </c>
      <c r="F267" t="s">
        <v>27</v>
      </c>
      <c r="G267" t="s">
        <v>27</v>
      </c>
      <c r="H267" t="s">
        <v>28</v>
      </c>
      <c r="I267" t="s">
        <v>136</v>
      </c>
      <c r="J267" t="s">
        <v>20</v>
      </c>
      <c r="K267">
        <v>7</v>
      </c>
      <c r="M267">
        <v>15000</v>
      </c>
      <c r="N267" t="s">
        <v>137</v>
      </c>
      <c r="O267" t="s">
        <v>161</v>
      </c>
      <c r="P267" t="s">
        <v>156</v>
      </c>
      <c r="Q267" t="s">
        <v>1317</v>
      </c>
    </row>
    <row r="268" spans="1:17" x14ac:dyDescent="0.25">
      <c r="A268" t="s">
        <v>652</v>
      </c>
      <c r="B268" t="s">
        <v>141</v>
      </c>
      <c r="C268" t="s">
        <v>142</v>
      </c>
      <c r="D268" s="8">
        <v>46170</v>
      </c>
      <c r="E268" t="s">
        <v>26</v>
      </c>
      <c r="F268" t="s">
        <v>23</v>
      </c>
      <c r="G268" t="s">
        <v>23</v>
      </c>
      <c r="H268" t="s">
        <v>160</v>
      </c>
      <c r="I268" t="s">
        <v>173</v>
      </c>
      <c r="J268" t="s">
        <v>35</v>
      </c>
      <c r="K268">
        <v>1</v>
      </c>
      <c r="L268">
        <v>984990</v>
      </c>
      <c r="M268">
        <v>15000</v>
      </c>
      <c r="N268" t="s">
        <v>137</v>
      </c>
      <c r="O268" t="s">
        <v>165</v>
      </c>
      <c r="P268" t="s">
        <v>139</v>
      </c>
      <c r="Q268" t="s">
        <v>21</v>
      </c>
    </row>
    <row r="269" spans="1:17" x14ac:dyDescent="0.25">
      <c r="A269" t="s">
        <v>653</v>
      </c>
      <c r="B269" t="s">
        <v>322</v>
      </c>
      <c r="C269" t="s">
        <v>323</v>
      </c>
      <c r="D269" s="8">
        <v>46162</v>
      </c>
      <c r="E269" t="s">
        <v>26</v>
      </c>
      <c r="F269" t="s">
        <v>27</v>
      </c>
      <c r="G269" t="s">
        <v>27</v>
      </c>
      <c r="H269" t="s">
        <v>1315</v>
      </c>
      <c r="I269" t="s">
        <v>169</v>
      </c>
      <c r="J269" t="s">
        <v>35</v>
      </c>
      <c r="K269">
        <v>6</v>
      </c>
      <c r="L269">
        <v>839755</v>
      </c>
      <c r="M269">
        <v>35000</v>
      </c>
      <c r="N269" t="s">
        <v>137</v>
      </c>
      <c r="O269" t="s">
        <v>161</v>
      </c>
      <c r="P269" t="s">
        <v>139</v>
      </c>
      <c r="Q269" t="s">
        <v>21</v>
      </c>
    </row>
    <row r="270" spans="1:17" x14ac:dyDescent="0.25">
      <c r="A270" t="s">
        <v>654</v>
      </c>
      <c r="B270" t="s">
        <v>440</v>
      </c>
      <c r="C270" t="s">
        <v>441</v>
      </c>
      <c r="D270" s="8">
        <v>46170</v>
      </c>
      <c r="E270" t="s">
        <v>26</v>
      </c>
      <c r="F270" t="s">
        <v>27</v>
      </c>
      <c r="G270" t="s">
        <v>27</v>
      </c>
      <c r="H270" t="s">
        <v>143</v>
      </c>
      <c r="I270" t="s">
        <v>169</v>
      </c>
      <c r="J270" t="s">
        <v>20</v>
      </c>
      <c r="K270">
        <v>5</v>
      </c>
      <c r="L270">
        <v>2177066</v>
      </c>
      <c r="M270">
        <v>25000</v>
      </c>
      <c r="N270" t="s">
        <v>43</v>
      </c>
      <c r="P270" t="s">
        <v>156</v>
      </c>
      <c r="Q270" t="s">
        <v>1321</v>
      </c>
    </row>
    <row r="271" spans="1:17" x14ac:dyDescent="0.25">
      <c r="A271" t="s">
        <v>655</v>
      </c>
      <c r="B271" t="s">
        <v>656</v>
      </c>
      <c r="C271" t="s">
        <v>192</v>
      </c>
      <c r="D271" s="8">
        <v>46032</v>
      </c>
      <c r="E271" t="s">
        <v>116</v>
      </c>
      <c r="F271" t="s">
        <v>27</v>
      </c>
      <c r="G271" t="s">
        <v>27</v>
      </c>
      <c r="H271" t="s">
        <v>143</v>
      </c>
      <c r="I271" t="s">
        <v>147</v>
      </c>
      <c r="J271" t="s">
        <v>25</v>
      </c>
      <c r="K271">
        <v>3</v>
      </c>
      <c r="L271">
        <v>908838</v>
      </c>
      <c r="M271">
        <v>15000</v>
      </c>
      <c r="N271" t="s">
        <v>148</v>
      </c>
      <c r="O271" t="s">
        <v>138</v>
      </c>
      <c r="P271" t="s">
        <v>139</v>
      </c>
      <c r="Q271" t="s">
        <v>21</v>
      </c>
    </row>
    <row r="272" spans="1:17" x14ac:dyDescent="0.25">
      <c r="A272" t="s">
        <v>657</v>
      </c>
      <c r="B272" t="s">
        <v>141</v>
      </c>
      <c r="C272" t="s">
        <v>142</v>
      </c>
      <c r="D272" s="8">
        <v>46182</v>
      </c>
      <c r="E272" t="s">
        <v>113</v>
      </c>
      <c r="F272" t="s">
        <v>18</v>
      </c>
      <c r="G272" t="s">
        <v>18</v>
      </c>
      <c r="H272" t="s">
        <v>28</v>
      </c>
      <c r="I272" t="s">
        <v>39</v>
      </c>
      <c r="J272" t="s">
        <v>20</v>
      </c>
      <c r="K272">
        <v>5</v>
      </c>
      <c r="L272">
        <v>1890059</v>
      </c>
      <c r="M272">
        <v>0</v>
      </c>
      <c r="N272" t="s">
        <v>137</v>
      </c>
      <c r="O272" t="s">
        <v>138</v>
      </c>
      <c r="P272" t="s">
        <v>139</v>
      </c>
      <c r="Q272" t="s">
        <v>1318</v>
      </c>
    </row>
    <row r="273" spans="1:17" x14ac:dyDescent="0.25">
      <c r="A273" t="s">
        <v>658</v>
      </c>
      <c r="B273" t="s">
        <v>462</v>
      </c>
      <c r="C273" t="s">
        <v>202</v>
      </c>
      <c r="D273" s="8">
        <v>46131</v>
      </c>
      <c r="E273" t="s">
        <v>117</v>
      </c>
      <c r="F273" t="s">
        <v>18</v>
      </c>
      <c r="G273" t="s">
        <v>18</v>
      </c>
      <c r="H273" t="s">
        <v>1315</v>
      </c>
      <c r="I273" t="s">
        <v>147</v>
      </c>
      <c r="J273" t="s">
        <v>35</v>
      </c>
      <c r="K273">
        <v>2</v>
      </c>
      <c r="L273">
        <v>720808</v>
      </c>
      <c r="M273">
        <v>50000</v>
      </c>
      <c r="N273" t="s">
        <v>137</v>
      </c>
      <c r="O273" t="s">
        <v>138</v>
      </c>
      <c r="P273" t="s">
        <v>156</v>
      </c>
      <c r="Q273" t="s">
        <v>21</v>
      </c>
    </row>
    <row r="274" spans="1:17" x14ac:dyDescent="0.25">
      <c r="A274" t="s">
        <v>659</v>
      </c>
      <c r="B274" t="s">
        <v>445</v>
      </c>
      <c r="C274" t="s">
        <v>446</v>
      </c>
      <c r="D274" s="8">
        <v>46062</v>
      </c>
      <c r="E274" t="s">
        <v>114</v>
      </c>
      <c r="F274" t="s">
        <v>23</v>
      </c>
      <c r="G274" t="s">
        <v>23</v>
      </c>
      <c r="H274" t="s">
        <v>1315</v>
      </c>
      <c r="I274" t="s">
        <v>173</v>
      </c>
      <c r="J274" t="s">
        <v>35</v>
      </c>
      <c r="K274">
        <v>4</v>
      </c>
      <c r="L274">
        <v>1446911</v>
      </c>
      <c r="M274">
        <v>35000</v>
      </c>
      <c r="N274" t="s">
        <v>137</v>
      </c>
      <c r="O274" t="s">
        <v>138</v>
      </c>
      <c r="P274" t="s">
        <v>156</v>
      </c>
      <c r="Q274" t="s">
        <v>21</v>
      </c>
    </row>
    <row r="275" spans="1:17" x14ac:dyDescent="0.25">
      <c r="A275" t="s">
        <v>660</v>
      </c>
      <c r="B275" t="s">
        <v>274</v>
      </c>
      <c r="C275" t="s">
        <v>192</v>
      </c>
      <c r="D275" s="8">
        <v>46163</v>
      </c>
      <c r="E275" t="s">
        <v>26</v>
      </c>
      <c r="F275" t="s">
        <v>34</v>
      </c>
      <c r="G275" t="s">
        <v>34</v>
      </c>
      <c r="H275" t="s">
        <v>1315</v>
      </c>
      <c r="I275" t="s">
        <v>177</v>
      </c>
      <c r="J275" t="s">
        <v>29</v>
      </c>
      <c r="K275">
        <v>3</v>
      </c>
      <c r="L275">
        <v>1826164</v>
      </c>
      <c r="M275">
        <v>0</v>
      </c>
      <c r="N275" t="s">
        <v>137</v>
      </c>
      <c r="O275" t="s">
        <v>138</v>
      </c>
      <c r="P275" t="s">
        <v>139</v>
      </c>
      <c r="Q275" t="s">
        <v>1318</v>
      </c>
    </row>
    <row r="276" spans="1:17" x14ac:dyDescent="0.25">
      <c r="A276" t="s">
        <v>661</v>
      </c>
      <c r="B276" t="s">
        <v>662</v>
      </c>
      <c r="C276" t="s">
        <v>223</v>
      </c>
      <c r="D276" s="8">
        <v>46048</v>
      </c>
      <c r="E276" t="s">
        <v>116</v>
      </c>
      <c r="F276" t="s">
        <v>27</v>
      </c>
      <c r="G276" t="s">
        <v>27</v>
      </c>
      <c r="H276" t="s">
        <v>1315</v>
      </c>
      <c r="I276" t="s">
        <v>147</v>
      </c>
      <c r="J276" t="s">
        <v>32</v>
      </c>
      <c r="K276">
        <v>4</v>
      </c>
      <c r="L276">
        <v>1701906</v>
      </c>
      <c r="M276">
        <v>15000</v>
      </c>
      <c r="N276" t="s">
        <v>37</v>
      </c>
      <c r="O276" t="s">
        <v>138</v>
      </c>
      <c r="P276" t="s">
        <v>156</v>
      </c>
      <c r="Q276" t="s">
        <v>21</v>
      </c>
    </row>
    <row r="277" spans="1:17" x14ac:dyDescent="0.25">
      <c r="A277" t="s">
        <v>663</v>
      </c>
      <c r="B277" t="s">
        <v>640</v>
      </c>
      <c r="C277" t="s">
        <v>198</v>
      </c>
      <c r="D277" s="8">
        <v>46112</v>
      </c>
      <c r="E277" t="s">
        <v>115</v>
      </c>
      <c r="F277" t="s">
        <v>18</v>
      </c>
      <c r="G277" t="s">
        <v>18</v>
      </c>
      <c r="H277" t="s">
        <v>1315</v>
      </c>
      <c r="I277" t="s">
        <v>39</v>
      </c>
      <c r="J277" t="s">
        <v>29</v>
      </c>
      <c r="K277">
        <v>3</v>
      </c>
      <c r="L277">
        <v>1302779</v>
      </c>
      <c r="M277">
        <v>50000</v>
      </c>
      <c r="N277" t="s">
        <v>137</v>
      </c>
      <c r="O277" t="s">
        <v>165</v>
      </c>
      <c r="P277" t="s">
        <v>139</v>
      </c>
      <c r="Q277" t="s">
        <v>21</v>
      </c>
    </row>
    <row r="278" spans="1:17" x14ac:dyDescent="0.25">
      <c r="A278" t="s">
        <v>664</v>
      </c>
      <c r="B278" t="s">
        <v>629</v>
      </c>
      <c r="C278" t="s">
        <v>441</v>
      </c>
      <c r="D278" s="8">
        <v>46196</v>
      </c>
      <c r="E278" t="s">
        <v>113</v>
      </c>
      <c r="F278" t="s">
        <v>34</v>
      </c>
      <c r="G278" t="s">
        <v>34</v>
      </c>
      <c r="H278" t="s">
        <v>160</v>
      </c>
      <c r="I278" t="s">
        <v>169</v>
      </c>
      <c r="J278" t="s">
        <v>35</v>
      </c>
      <c r="K278">
        <v>5</v>
      </c>
      <c r="L278">
        <v>2350036</v>
      </c>
      <c r="M278">
        <v>50000</v>
      </c>
      <c r="N278" t="s">
        <v>148</v>
      </c>
      <c r="O278" t="s">
        <v>165</v>
      </c>
      <c r="P278" t="s">
        <v>156</v>
      </c>
      <c r="Q278" t="s">
        <v>21</v>
      </c>
    </row>
    <row r="279" spans="1:17" x14ac:dyDescent="0.25">
      <c r="A279" t="s">
        <v>665</v>
      </c>
      <c r="B279" t="s">
        <v>506</v>
      </c>
      <c r="C279" t="s">
        <v>189</v>
      </c>
      <c r="D279" s="8">
        <v>46055</v>
      </c>
      <c r="E279" t="s">
        <v>114</v>
      </c>
      <c r="F279" t="s">
        <v>34</v>
      </c>
      <c r="G279" t="s">
        <v>34</v>
      </c>
      <c r="H279" t="s">
        <v>143</v>
      </c>
      <c r="I279" t="s">
        <v>169</v>
      </c>
      <c r="J279" t="s">
        <v>35</v>
      </c>
      <c r="K279">
        <v>5</v>
      </c>
      <c r="L279">
        <v>718401</v>
      </c>
      <c r="M279">
        <v>35000</v>
      </c>
      <c r="N279" t="s">
        <v>137</v>
      </c>
      <c r="O279" t="s">
        <v>161</v>
      </c>
      <c r="P279" t="s">
        <v>139</v>
      </c>
      <c r="Q279" t="s">
        <v>21</v>
      </c>
    </row>
    <row r="280" spans="1:17" x14ac:dyDescent="0.25">
      <c r="A280" t="s">
        <v>666</v>
      </c>
      <c r="B280" t="s">
        <v>163</v>
      </c>
      <c r="C280" t="s">
        <v>164</v>
      </c>
      <c r="D280" s="8">
        <v>46140</v>
      </c>
      <c r="E280" t="s">
        <v>117</v>
      </c>
      <c r="F280" t="s">
        <v>31</v>
      </c>
      <c r="G280" t="s">
        <v>31</v>
      </c>
      <c r="H280" t="s">
        <v>143</v>
      </c>
      <c r="I280" t="s">
        <v>136</v>
      </c>
      <c r="J280" t="s">
        <v>20</v>
      </c>
      <c r="K280">
        <v>3</v>
      </c>
      <c r="L280">
        <v>887996</v>
      </c>
      <c r="M280">
        <v>35000</v>
      </c>
      <c r="N280" t="s">
        <v>148</v>
      </c>
      <c r="O280" t="s">
        <v>138</v>
      </c>
      <c r="P280" t="s">
        <v>139</v>
      </c>
      <c r="Q280" t="s">
        <v>21</v>
      </c>
    </row>
    <row r="281" spans="1:17" x14ac:dyDescent="0.25">
      <c r="A281" t="s">
        <v>667</v>
      </c>
      <c r="B281" t="s">
        <v>599</v>
      </c>
      <c r="C281" t="s">
        <v>22</v>
      </c>
      <c r="D281" s="8">
        <v>46103</v>
      </c>
      <c r="E281" t="s">
        <v>115</v>
      </c>
      <c r="F281" t="s">
        <v>18</v>
      </c>
      <c r="G281" t="s">
        <v>18</v>
      </c>
      <c r="H281" t="s">
        <v>160</v>
      </c>
      <c r="I281" t="s">
        <v>173</v>
      </c>
      <c r="J281" t="s">
        <v>25</v>
      </c>
      <c r="K281">
        <v>1</v>
      </c>
      <c r="L281">
        <v>498077</v>
      </c>
      <c r="M281">
        <v>0</v>
      </c>
      <c r="N281" t="s">
        <v>137</v>
      </c>
      <c r="O281" t="s">
        <v>149</v>
      </c>
      <c r="P281" t="s">
        <v>139</v>
      </c>
      <c r="Q281" t="s">
        <v>1318</v>
      </c>
    </row>
    <row r="282" spans="1:17" x14ac:dyDescent="0.25">
      <c r="A282" t="s">
        <v>668</v>
      </c>
      <c r="B282" t="s">
        <v>629</v>
      </c>
      <c r="C282" t="s">
        <v>441</v>
      </c>
      <c r="D282" s="8">
        <v>46025</v>
      </c>
      <c r="E282" t="s">
        <v>116</v>
      </c>
      <c r="F282" t="s">
        <v>27</v>
      </c>
      <c r="G282" t="s">
        <v>27</v>
      </c>
      <c r="H282" t="s">
        <v>160</v>
      </c>
      <c r="I282" t="s">
        <v>39</v>
      </c>
      <c r="J282" t="s">
        <v>20</v>
      </c>
      <c r="K282">
        <v>6</v>
      </c>
      <c r="L282">
        <v>1898316</v>
      </c>
      <c r="M282">
        <v>50000</v>
      </c>
      <c r="N282" t="s">
        <v>137</v>
      </c>
      <c r="O282" t="s">
        <v>407</v>
      </c>
      <c r="P282" t="s">
        <v>156</v>
      </c>
      <c r="Q282" t="s">
        <v>21</v>
      </c>
    </row>
    <row r="283" spans="1:17" x14ac:dyDescent="0.25">
      <c r="A283" t="s">
        <v>669</v>
      </c>
      <c r="B283" t="s">
        <v>670</v>
      </c>
      <c r="C283" t="s">
        <v>284</v>
      </c>
      <c r="D283" s="8">
        <v>46024</v>
      </c>
      <c r="E283" t="s">
        <v>116</v>
      </c>
      <c r="F283" t="s">
        <v>27</v>
      </c>
      <c r="G283" t="s">
        <v>27</v>
      </c>
      <c r="H283" t="s">
        <v>160</v>
      </c>
      <c r="I283" t="s">
        <v>147</v>
      </c>
      <c r="J283" t="s">
        <v>32</v>
      </c>
      <c r="K283">
        <v>6</v>
      </c>
      <c r="L283">
        <v>1902490</v>
      </c>
      <c r="M283">
        <v>50000</v>
      </c>
      <c r="N283" t="s">
        <v>137</v>
      </c>
      <c r="O283" t="s">
        <v>149</v>
      </c>
      <c r="P283" t="s">
        <v>156</v>
      </c>
      <c r="Q283" t="s">
        <v>21</v>
      </c>
    </row>
    <row r="284" spans="1:17" x14ac:dyDescent="0.25">
      <c r="A284" t="s">
        <v>671</v>
      </c>
      <c r="B284" t="s">
        <v>672</v>
      </c>
      <c r="C284" t="s">
        <v>452</v>
      </c>
      <c r="D284" s="8">
        <v>46157</v>
      </c>
      <c r="E284" t="s">
        <v>26</v>
      </c>
      <c r="F284" t="s">
        <v>34</v>
      </c>
      <c r="G284" t="s">
        <v>34</v>
      </c>
      <c r="H284" t="s">
        <v>160</v>
      </c>
      <c r="I284" t="s">
        <v>39</v>
      </c>
      <c r="J284" t="s">
        <v>32</v>
      </c>
      <c r="K284">
        <v>1</v>
      </c>
      <c r="L284">
        <v>1064006</v>
      </c>
      <c r="M284">
        <v>15000</v>
      </c>
      <c r="N284" t="s">
        <v>137</v>
      </c>
      <c r="O284" t="s">
        <v>161</v>
      </c>
      <c r="P284" t="s">
        <v>139</v>
      </c>
      <c r="Q284" t="s">
        <v>21</v>
      </c>
    </row>
    <row r="285" spans="1:17" x14ac:dyDescent="0.25">
      <c r="A285" t="s">
        <v>673</v>
      </c>
      <c r="B285" t="s">
        <v>556</v>
      </c>
      <c r="C285" t="s">
        <v>231</v>
      </c>
      <c r="D285" s="8">
        <v>46118</v>
      </c>
      <c r="E285" t="s">
        <v>117</v>
      </c>
      <c r="F285" t="s">
        <v>23</v>
      </c>
      <c r="G285" t="s">
        <v>23</v>
      </c>
      <c r="H285" t="s">
        <v>1315</v>
      </c>
      <c r="I285" t="s">
        <v>136</v>
      </c>
      <c r="J285" t="s">
        <v>32</v>
      </c>
      <c r="K285">
        <v>6</v>
      </c>
      <c r="L285">
        <v>594935</v>
      </c>
      <c r="M285">
        <v>25000</v>
      </c>
      <c r="N285" t="s">
        <v>137</v>
      </c>
      <c r="O285" t="s">
        <v>138</v>
      </c>
      <c r="P285" t="s">
        <v>139</v>
      </c>
      <c r="Q285" t="s">
        <v>21</v>
      </c>
    </row>
    <row r="286" spans="1:17" x14ac:dyDescent="0.25">
      <c r="A286" t="s">
        <v>674</v>
      </c>
      <c r="B286" t="s">
        <v>233</v>
      </c>
      <c r="C286" t="s">
        <v>36</v>
      </c>
      <c r="D286" s="8">
        <v>46077</v>
      </c>
      <c r="E286" t="s">
        <v>114</v>
      </c>
      <c r="F286" t="s">
        <v>27</v>
      </c>
      <c r="G286" t="s">
        <v>27</v>
      </c>
      <c r="H286" t="s">
        <v>160</v>
      </c>
      <c r="I286" t="s">
        <v>39</v>
      </c>
      <c r="J286" t="s">
        <v>35</v>
      </c>
      <c r="K286">
        <v>4</v>
      </c>
      <c r="L286" t="s">
        <v>675</v>
      </c>
      <c r="M286">
        <v>50000</v>
      </c>
      <c r="N286" t="s">
        <v>137</v>
      </c>
      <c r="O286" t="s">
        <v>503</v>
      </c>
      <c r="P286" t="s">
        <v>139</v>
      </c>
      <c r="Q286" t="s">
        <v>21</v>
      </c>
    </row>
    <row r="287" spans="1:17" x14ac:dyDescent="0.25">
      <c r="A287" t="s">
        <v>676</v>
      </c>
      <c r="B287" t="s">
        <v>525</v>
      </c>
      <c r="C287" t="s">
        <v>526</v>
      </c>
      <c r="D287" s="8">
        <v>46114</v>
      </c>
      <c r="E287" t="s">
        <v>117</v>
      </c>
      <c r="F287" t="s">
        <v>23</v>
      </c>
      <c r="G287" t="s">
        <v>23</v>
      </c>
      <c r="H287" t="s">
        <v>1315</v>
      </c>
      <c r="I287" t="s">
        <v>169</v>
      </c>
      <c r="J287" t="s">
        <v>29</v>
      </c>
      <c r="K287">
        <v>4</v>
      </c>
      <c r="L287">
        <v>144709</v>
      </c>
      <c r="M287">
        <v>50000</v>
      </c>
      <c r="N287" t="s">
        <v>214</v>
      </c>
      <c r="O287" t="s">
        <v>138</v>
      </c>
      <c r="P287" t="s">
        <v>139</v>
      </c>
      <c r="Q287" t="s">
        <v>21</v>
      </c>
    </row>
    <row r="288" spans="1:17" x14ac:dyDescent="0.25">
      <c r="A288" t="s">
        <v>677</v>
      </c>
      <c r="B288" t="s">
        <v>678</v>
      </c>
      <c r="C288" t="s">
        <v>679</v>
      </c>
      <c r="D288" s="8">
        <v>46025</v>
      </c>
      <c r="E288" t="s">
        <v>116</v>
      </c>
      <c r="F288" t="s">
        <v>18</v>
      </c>
      <c r="G288" t="s">
        <v>18</v>
      </c>
      <c r="H288" t="s">
        <v>28</v>
      </c>
      <c r="I288" t="s">
        <v>173</v>
      </c>
      <c r="J288" t="s">
        <v>32</v>
      </c>
      <c r="K288">
        <v>4</v>
      </c>
      <c r="L288">
        <v>545041</v>
      </c>
      <c r="M288">
        <v>35000</v>
      </c>
      <c r="N288" t="s">
        <v>137</v>
      </c>
      <c r="O288" t="s">
        <v>138</v>
      </c>
      <c r="P288" t="s">
        <v>156</v>
      </c>
      <c r="Q288" t="s">
        <v>21</v>
      </c>
    </row>
    <row r="289" spans="1:17" x14ac:dyDescent="0.25">
      <c r="A289" t="s">
        <v>680</v>
      </c>
      <c r="B289" t="s">
        <v>681</v>
      </c>
      <c r="C289" t="s">
        <v>317</v>
      </c>
      <c r="D289" s="8">
        <v>46191</v>
      </c>
      <c r="E289" t="s">
        <v>113</v>
      </c>
      <c r="F289" t="s">
        <v>31</v>
      </c>
      <c r="G289" t="s">
        <v>31</v>
      </c>
      <c r="H289" t="s">
        <v>143</v>
      </c>
      <c r="I289" t="s">
        <v>147</v>
      </c>
      <c r="J289" t="s">
        <v>25</v>
      </c>
      <c r="K289">
        <v>4</v>
      </c>
      <c r="L289">
        <v>1169141</v>
      </c>
      <c r="M289">
        <v>15000</v>
      </c>
      <c r="N289" t="s">
        <v>137</v>
      </c>
      <c r="O289" t="s">
        <v>161</v>
      </c>
      <c r="P289" t="s">
        <v>156</v>
      </c>
      <c r="Q289" t="s">
        <v>21</v>
      </c>
    </row>
    <row r="290" spans="1:17" x14ac:dyDescent="0.25">
      <c r="A290" t="s">
        <v>682</v>
      </c>
      <c r="B290" t="s">
        <v>683</v>
      </c>
      <c r="C290" t="s">
        <v>684</v>
      </c>
      <c r="D290" s="8">
        <v>46191</v>
      </c>
      <c r="E290" t="s">
        <v>113</v>
      </c>
      <c r="F290" t="s">
        <v>34</v>
      </c>
      <c r="G290" t="s">
        <v>34</v>
      </c>
      <c r="H290" t="s">
        <v>143</v>
      </c>
      <c r="I290" t="s">
        <v>173</v>
      </c>
      <c r="J290" t="s">
        <v>29</v>
      </c>
      <c r="K290">
        <v>2</v>
      </c>
      <c r="L290">
        <v>1962795</v>
      </c>
      <c r="M290">
        <v>15000</v>
      </c>
      <c r="N290" t="s">
        <v>137</v>
      </c>
      <c r="O290" t="s">
        <v>138</v>
      </c>
      <c r="P290" t="s">
        <v>139</v>
      </c>
      <c r="Q290" t="s">
        <v>21</v>
      </c>
    </row>
    <row r="291" spans="1:17" x14ac:dyDescent="0.25">
      <c r="A291" t="s">
        <v>685</v>
      </c>
      <c r="B291" t="s">
        <v>398</v>
      </c>
      <c r="C291" t="s">
        <v>399</v>
      </c>
      <c r="D291" s="8">
        <v>46057</v>
      </c>
      <c r="E291" t="s">
        <v>114</v>
      </c>
      <c r="F291" t="s">
        <v>18</v>
      </c>
      <c r="G291" t="s">
        <v>18</v>
      </c>
      <c r="H291" t="s">
        <v>28</v>
      </c>
      <c r="I291" t="s">
        <v>169</v>
      </c>
      <c r="J291" t="s">
        <v>25</v>
      </c>
      <c r="K291">
        <v>6</v>
      </c>
      <c r="L291">
        <v>1774845</v>
      </c>
      <c r="M291">
        <v>35000</v>
      </c>
      <c r="N291" t="s">
        <v>262</v>
      </c>
      <c r="O291" t="s">
        <v>161</v>
      </c>
      <c r="P291" t="s">
        <v>156</v>
      </c>
      <c r="Q291" t="s">
        <v>21</v>
      </c>
    </row>
    <row r="292" spans="1:17" x14ac:dyDescent="0.25">
      <c r="A292" t="s">
        <v>686</v>
      </c>
      <c r="B292" t="s">
        <v>445</v>
      </c>
      <c r="C292" t="s">
        <v>446</v>
      </c>
      <c r="D292" s="8">
        <v>46148</v>
      </c>
      <c r="E292" t="s">
        <v>26</v>
      </c>
      <c r="F292" t="s">
        <v>31</v>
      </c>
      <c r="G292" t="s">
        <v>31</v>
      </c>
      <c r="H292" t="s">
        <v>28</v>
      </c>
      <c r="I292" t="s">
        <v>177</v>
      </c>
      <c r="J292" t="s">
        <v>20</v>
      </c>
      <c r="K292">
        <v>7</v>
      </c>
      <c r="L292">
        <v>2427385</v>
      </c>
      <c r="M292">
        <v>35000</v>
      </c>
      <c r="N292" t="s">
        <v>137</v>
      </c>
      <c r="O292" t="s">
        <v>161</v>
      </c>
      <c r="P292" t="s">
        <v>156</v>
      </c>
      <c r="Q292" t="s">
        <v>21</v>
      </c>
    </row>
    <row r="293" spans="1:17" x14ac:dyDescent="0.25">
      <c r="A293" t="s">
        <v>687</v>
      </c>
      <c r="B293" t="s">
        <v>467</v>
      </c>
      <c r="C293" t="s">
        <v>198</v>
      </c>
      <c r="D293" s="8">
        <v>46028</v>
      </c>
      <c r="E293" t="s">
        <v>116</v>
      </c>
      <c r="F293" t="s">
        <v>18</v>
      </c>
      <c r="G293" t="s">
        <v>18</v>
      </c>
      <c r="H293" t="s">
        <v>160</v>
      </c>
      <c r="I293" t="s">
        <v>169</v>
      </c>
      <c r="J293" t="s">
        <v>25</v>
      </c>
      <c r="K293">
        <v>3</v>
      </c>
      <c r="L293">
        <v>649000</v>
      </c>
      <c r="M293">
        <v>15000</v>
      </c>
      <c r="N293" t="s">
        <v>137</v>
      </c>
      <c r="O293" t="s">
        <v>138</v>
      </c>
      <c r="P293" t="s">
        <v>139</v>
      </c>
      <c r="Q293" t="s">
        <v>21</v>
      </c>
    </row>
    <row r="294" spans="1:17" x14ac:dyDescent="0.25">
      <c r="A294" t="s">
        <v>688</v>
      </c>
      <c r="B294" t="s">
        <v>689</v>
      </c>
      <c r="C294" t="s">
        <v>441</v>
      </c>
      <c r="D294" s="8">
        <v>46025</v>
      </c>
      <c r="E294" t="s">
        <v>116</v>
      </c>
      <c r="F294" t="s">
        <v>31</v>
      </c>
      <c r="G294" t="s">
        <v>31</v>
      </c>
      <c r="H294" t="s">
        <v>143</v>
      </c>
      <c r="I294" t="s">
        <v>147</v>
      </c>
      <c r="J294" t="s">
        <v>29</v>
      </c>
      <c r="K294">
        <v>3</v>
      </c>
      <c r="L294">
        <v>1941705</v>
      </c>
      <c r="M294">
        <v>35000</v>
      </c>
      <c r="N294" t="s">
        <v>137</v>
      </c>
      <c r="O294" t="s">
        <v>161</v>
      </c>
      <c r="P294" t="s">
        <v>156</v>
      </c>
      <c r="Q294" t="s">
        <v>21</v>
      </c>
    </row>
    <row r="295" spans="1:17" x14ac:dyDescent="0.25">
      <c r="A295" t="s">
        <v>690</v>
      </c>
      <c r="B295" t="s">
        <v>486</v>
      </c>
      <c r="C295" t="s">
        <v>172</v>
      </c>
      <c r="D295" s="8">
        <v>46094</v>
      </c>
      <c r="E295" t="s">
        <v>115</v>
      </c>
      <c r="F295" t="s">
        <v>18</v>
      </c>
      <c r="G295" t="s">
        <v>18</v>
      </c>
      <c r="H295" t="s">
        <v>28</v>
      </c>
      <c r="I295" t="s">
        <v>169</v>
      </c>
      <c r="J295" t="s">
        <v>20</v>
      </c>
      <c r="K295">
        <v>6</v>
      </c>
      <c r="L295">
        <v>602428</v>
      </c>
      <c r="M295">
        <v>25000</v>
      </c>
      <c r="N295" t="s">
        <v>137</v>
      </c>
      <c r="O295" t="s">
        <v>165</v>
      </c>
      <c r="P295" t="s">
        <v>156</v>
      </c>
      <c r="Q295" t="s">
        <v>21</v>
      </c>
    </row>
    <row r="296" spans="1:17" x14ac:dyDescent="0.25">
      <c r="A296" t="s">
        <v>691</v>
      </c>
      <c r="B296" t="s">
        <v>376</v>
      </c>
      <c r="C296" t="s">
        <v>261</v>
      </c>
      <c r="D296" s="8">
        <v>46174</v>
      </c>
      <c r="E296" t="s">
        <v>113</v>
      </c>
      <c r="F296" t="s">
        <v>18</v>
      </c>
      <c r="G296" t="s">
        <v>18</v>
      </c>
      <c r="H296" t="s">
        <v>143</v>
      </c>
      <c r="I296" t="s">
        <v>39</v>
      </c>
      <c r="J296" t="s">
        <v>20</v>
      </c>
      <c r="K296">
        <v>1</v>
      </c>
      <c r="L296">
        <v>743802</v>
      </c>
      <c r="M296">
        <v>15000</v>
      </c>
      <c r="N296" t="s">
        <v>137</v>
      </c>
      <c r="O296" t="s">
        <v>161</v>
      </c>
      <c r="P296" t="s">
        <v>156</v>
      </c>
      <c r="Q296" t="s">
        <v>21</v>
      </c>
    </row>
    <row r="297" spans="1:17" x14ac:dyDescent="0.25">
      <c r="A297" t="s">
        <v>692</v>
      </c>
      <c r="B297" t="s">
        <v>693</v>
      </c>
      <c r="C297" t="s">
        <v>164</v>
      </c>
      <c r="D297" s="8">
        <v>25569</v>
      </c>
      <c r="E297" t="s">
        <v>116</v>
      </c>
      <c r="F297" t="s">
        <v>18</v>
      </c>
      <c r="G297" t="s">
        <v>18</v>
      </c>
      <c r="H297" t="s">
        <v>143</v>
      </c>
      <c r="I297" t="s">
        <v>136</v>
      </c>
      <c r="J297" t="s">
        <v>32</v>
      </c>
      <c r="L297">
        <v>1715314</v>
      </c>
      <c r="M297">
        <v>35000</v>
      </c>
      <c r="N297" t="s">
        <v>137</v>
      </c>
      <c r="O297" t="s">
        <v>138</v>
      </c>
      <c r="P297" t="s">
        <v>139</v>
      </c>
      <c r="Q297" t="s">
        <v>1327</v>
      </c>
    </row>
    <row r="298" spans="1:17" x14ac:dyDescent="0.25">
      <c r="A298" t="s">
        <v>694</v>
      </c>
      <c r="B298" t="s">
        <v>695</v>
      </c>
      <c r="C298" t="s">
        <v>452</v>
      </c>
      <c r="D298" s="8">
        <v>46153</v>
      </c>
      <c r="E298" t="s">
        <v>26</v>
      </c>
      <c r="F298" t="s">
        <v>34</v>
      </c>
      <c r="G298" t="s">
        <v>34</v>
      </c>
      <c r="H298" t="s">
        <v>28</v>
      </c>
      <c r="I298" t="s">
        <v>177</v>
      </c>
      <c r="J298" t="s">
        <v>25</v>
      </c>
      <c r="K298">
        <v>3</v>
      </c>
      <c r="L298">
        <v>1911273</v>
      </c>
      <c r="M298">
        <v>0</v>
      </c>
      <c r="N298" t="s">
        <v>137</v>
      </c>
      <c r="O298" t="s">
        <v>138</v>
      </c>
      <c r="P298" t="s">
        <v>156</v>
      </c>
      <c r="Q298" t="s">
        <v>1318</v>
      </c>
    </row>
    <row r="299" spans="1:17" x14ac:dyDescent="0.25">
      <c r="A299" t="s">
        <v>696</v>
      </c>
      <c r="B299" t="s">
        <v>359</v>
      </c>
      <c r="C299" t="s">
        <v>146</v>
      </c>
      <c r="D299" s="8">
        <v>46033</v>
      </c>
      <c r="E299" t="s">
        <v>116</v>
      </c>
      <c r="F299" t="s">
        <v>31</v>
      </c>
      <c r="G299" t="s">
        <v>31</v>
      </c>
      <c r="H299" t="s">
        <v>1315</v>
      </c>
      <c r="I299" t="s">
        <v>147</v>
      </c>
      <c r="J299" t="s">
        <v>20</v>
      </c>
      <c r="K299">
        <v>6</v>
      </c>
      <c r="L299">
        <v>122247</v>
      </c>
      <c r="M299">
        <v>0</v>
      </c>
      <c r="N299" t="s">
        <v>137</v>
      </c>
      <c r="O299" t="s">
        <v>161</v>
      </c>
      <c r="P299" t="s">
        <v>139</v>
      </c>
      <c r="Q299" t="s">
        <v>1318</v>
      </c>
    </row>
    <row r="300" spans="1:17" x14ac:dyDescent="0.25">
      <c r="A300" t="s">
        <v>697</v>
      </c>
      <c r="B300" t="s">
        <v>260</v>
      </c>
      <c r="C300" t="s">
        <v>261</v>
      </c>
      <c r="D300" s="8">
        <v>46087</v>
      </c>
      <c r="E300" t="s">
        <v>115</v>
      </c>
      <c r="F300" t="s">
        <v>119</v>
      </c>
      <c r="G300" t="s">
        <v>23</v>
      </c>
      <c r="H300" t="s">
        <v>143</v>
      </c>
      <c r="I300" t="s">
        <v>136</v>
      </c>
      <c r="J300" t="s">
        <v>25</v>
      </c>
      <c r="K300">
        <v>3</v>
      </c>
      <c r="L300">
        <v>2180604</v>
      </c>
      <c r="M300">
        <v>25000</v>
      </c>
      <c r="N300" t="s">
        <v>137</v>
      </c>
      <c r="O300" t="s">
        <v>161</v>
      </c>
      <c r="P300" t="s">
        <v>139</v>
      </c>
      <c r="Q300" t="s">
        <v>21</v>
      </c>
    </row>
    <row r="301" spans="1:17" x14ac:dyDescent="0.25">
      <c r="A301" t="s">
        <v>698</v>
      </c>
      <c r="B301" t="s">
        <v>253</v>
      </c>
      <c r="C301" t="s">
        <v>176</v>
      </c>
      <c r="D301" s="8">
        <v>46173</v>
      </c>
      <c r="E301" t="s">
        <v>26</v>
      </c>
      <c r="F301" t="s">
        <v>27</v>
      </c>
      <c r="G301" t="s">
        <v>27</v>
      </c>
      <c r="H301" t="s">
        <v>28</v>
      </c>
      <c r="I301" t="s">
        <v>173</v>
      </c>
      <c r="J301" t="s">
        <v>20</v>
      </c>
      <c r="K301">
        <v>3</v>
      </c>
      <c r="L301">
        <v>2338208</v>
      </c>
      <c r="M301">
        <v>50000</v>
      </c>
      <c r="N301" t="s">
        <v>137</v>
      </c>
      <c r="O301" t="s">
        <v>161</v>
      </c>
      <c r="P301" t="s">
        <v>156</v>
      </c>
      <c r="Q301" t="s">
        <v>21</v>
      </c>
    </row>
    <row r="302" spans="1:17" x14ac:dyDescent="0.25">
      <c r="A302" t="s">
        <v>699</v>
      </c>
      <c r="B302" t="s">
        <v>434</v>
      </c>
      <c r="C302" t="s">
        <v>435</v>
      </c>
      <c r="D302" s="8">
        <v>46177</v>
      </c>
      <c r="E302" t="s">
        <v>113</v>
      </c>
      <c r="F302" t="s">
        <v>18</v>
      </c>
      <c r="G302" t="s">
        <v>18</v>
      </c>
      <c r="H302" t="s">
        <v>28</v>
      </c>
      <c r="I302" t="s">
        <v>173</v>
      </c>
      <c r="J302" t="s">
        <v>20</v>
      </c>
      <c r="K302">
        <v>5</v>
      </c>
      <c r="L302">
        <v>624802</v>
      </c>
      <c r="M302">
        <v>0</v>
      </c>
      <c r="N302" t="s">
        <v>37</v>
      </c>
      <c r="O302" t="s">
        <v>149</v>
      </c>
      <c r="P302" t="s">
        <v>139</v>
      </c>
      <c r="Q302" t="s">
        <v>1318</v>
      </c>
    </row>
    <row r="303" spans="1:17" x14ac:dyDescent="0.25">
      <c r="A303" t="s">
        <v>700</v>
      </c>
      <c r="B303" t="s">
        <v>370</v>
      </c>
      <c r="C303" t="s">
        <v>180</v>
      </c>
      <c r="D303" s="8">
        <v>46144</v>
      </c>
      <c r="E303" t="s">
        <v>26</v>
      </c>
      <c r="F303" t="s">
        <v>31</v>
      </c>
      <c r="G303" t="s">
        <v>31</v>
      </c>
      <c r="H303" t="s">
        <v>1315</v>
      </c>
      <c r="I303" t="s">
        <v>147</v>
      </c>
      <c r="J303" t="s">
        <v>25</v>
      </c>
      <c r="K303">
        <v>6</v>
      </c>
      <c r="L303">
        <v>967245</v>
      </c>
      <c r="M303">
        <v>50000</v>
      </c>
      <c r="N303" t="s">
        <v>137</v>
      </c>
      <c r="O303" t="s">
        <v>161</v>
      </c>
      <c r="P303" t="s">
        <v>139</v>
      </c>
      <c r="Q303" t="s">
        <v>21</v>
      </c>
    </row>
    <row r="304" spans="1:17" x14ac:dyDescent="0.25">
      <c r="A304" t="s">
        <v>701</v>
      </c>
      <c r="B304" t="s">
        <v>204</v>
      </c>
      <c r="C304" t="s">
        <v>205</v>
      </c>
      <c r="D304" s="8">
        <v>46184</v>
      </c>
      <c r="E304" t="s">
        <v>113</v>
      </c>
      <c r="F304" t="s">
        <v>27</v>
      </c>
      <c r="G304" t="s">
        <v>27</v>
      </c>
      <c r="H304" t="s">
        <v>160</v>
      </c>
      <c r="I304" t="s">
        <v>177</v>
      </c>
      <c r="J304" t="s">
        <v>35</v>
      </c>
      <c r="K304">
        <v>1</v>
      </c>
      <c r="L304">
        <v>612532</v>
      </c>
      <c r="M304">
        <v>35000</v>
      </c>
      <c r="N304" t="s">
        <v>137</v>
      </c>
      <c r="O304" t="s">
        <v>138</v>
      </c>
      <c r="P304" t="s">
        <v>139</v>
      </c>
      <c r="Q304" t="s">
        <v>21</v>
      </c>
    </row>
    <row r="305" spans="1:17" x14ac:dyDescent="0.25">
      <c r="A305" t="s">
        <v>702</v>
      </c>
      <c r="B305" t="s">
        <v>601</v>
      </c>
      <c r="C305" t="s">
        <v>176</v>
      </c>
      <c r="D305" s="8">
        <v>46056</v>
      </c>
      <c r="E305" t="s">
        <v>114</v>
      </c>
      <c r="F305" t="s">
        <v>18</v>
      </c>
      <c r="G305" t="s">
        <v>18</v>
      </c>
      <c r="H305" t="s">
        <v>28</v>
      </c>
      <c r="I305" t="s">
        <v>39</v>
      </c>
      <c r="J305" t="s">
        <v>35</v>
      </c>
      <c r="K305">
        <v>5</v>
      </c>
      <c r="L305">
        <v>1334906</v>
      </c>
      <c r="M305">
        <v>0</v>
      </c>
      <c r="N305" t="s">
        <v>137</v>
      </c>
      <c r="O305" t="s">
        <v>149</v>
      </c>
      <c r="P305" t="s">
        <v>156</v>
      </c>
      <c r="Q305" t="s">
        <v>1318</v>
      </c>
    </row>
    <row r="306" spans="1:17" x14ac:dyDescent="0.25">
      <c r="A306" t="s">
        <v>703</v>
      </c>
      <c r="B306" t="s">
        <v>197</v>
      </c>
      <c r="C306" t="s">
        <v>198</v>
      </c>
      <c r="D306" s="8">
        <v>46135</v>
      </c>
      <c r="E306" t="s">
        <v>117</v>
      </c>
      <c r="F306" t="s">
        <v>34</v>
      </c>
      <c r="G306" t="s">
        <v>34</v>
      </c>
      <c r="H306" t="s">
        <v>143</v>
      </c>
      <c r="I306" t="s">
        <v>177</v>
      </c>
      <c r="J306" t="s">
        <v>20</v>
      </c>
      <c r="K306">
        <v>5</v>
      </c>
      <c r="L306">
        <v>2256068</v>
      </c>
      <c r="M306">
        <v>35000</v>
      </c>
      <c r="N306" t="s">
        <v>137</v>
      </c>
      <c r="O306" t="s">
        <v>138</v>
      </c>
      <c r="P306" t="s">
        <v>156</v>
      </c>
      <c r="Q306" t="s">
        <v>21</v>
      </c>
    </row>
    <row r="307" spans="1:17" x14ac:dyDescent="0.25">
      <c r="A307" t="s">
        <v>704</v>
      </c>
      <c r="B307" t="s">
        <v>705</v>
      </c>
      <c r="C307" t="s">
        <v>502</v>
      </c>
      <c r="D307" s="8">
        <v>46078</v>
      </c>
      <c r="E307" t="s">
        <v>114</v>
      </c>
      <c r="F307" t="s">
        <v>34</v>
      </c>
      <c r="G307" t="s">
        <v>34</v>
      </c>
      <c r="H307" t="s">
        <v>1315</v>
      </c>
      <c r="I307" t="s">
        <v>177</v>
      </c>
      <c r="J307" t="s">
        <v>25</v>
      </c>
      <c r="K307">
        <v>4</v>
      </c>
      <c r="L307">
        <v>157167</v>
      </c>
      <c r="M307">
        <v>50000</v>
      </c>
      <c r="N307" t="s">
        <v>137</v>
      </c>
      <c r="O307" t="s">
        <v>138</v>
      </c>
      <c r="P307" t="s">
        <v>139</v>
      </c>
      <c r="Q307" t="s">
        <v>21</v>
      </c>
    </row>
    <row r="308" spans="1:17" x14ac:dyDescent="0.25">
      <c r="A308" t="s">
        <v>706</v>
      </c>
      <c r="B308" t="s">
        <v>230</v>
      </c>
      <c r="C308" t="s">
        <v>231</v>
      </c>
      <c r="D308" s="8">
        <v>46053</v>
      </c>
      <c r="E308" t="s">
        <v>116</v>
      </c>
      <c r="F308" t="s">
        <v>18</v>
      </c>
      <c r="G308" t="s">
        <v>18</v>
      </c>
      <c r="H308" t="s">
        <v>1315</v>
      </c>
      <c r="I308" t="s">
        <v>177</v>
      </c>
      <c r="J308" t="s">
        <v>25</v>
      </c>
      <c r="K308">
        <v>1</v>
      </c>
      <c r="L308">
        <v>837683</v>
      </c>
      <c r="M308">
        <v>15000</v>
      </c>
      <c r="N308" t="s">
        <v>137</v>
      </c>
      <c r="O308" t="s">
        <v>161</v>
      </c>
      <c r="P308" t="s">
        <v>156</v>
      </c>
      <c r="Q308" t="s">
        <v>21</v>
      </c>
    </row>
    <row r="309" spans="1:17" x14ac:dyDescent="0.25">
      <c r="A309" t="s">
        <v>707</v>
      </c>
      <c r="B309" t="s">
        <v>708</v>
      </c>
      <c r="C309" t="s">
        <v>220</v>
      </c>
      <c r="D309" s="8">
        <v>46086</v>
      </c>
      <c r="E309" t="s">
        <v>115</v>
      </c>
      <c r="F309" t="s">
        <v>27</v>
      </c>
      <c r="G309" t="s">
        <v>27</v>
      </c>
      <c r="H309" t="s">
        <v>1315</v>
      </c>
      <c r="I309" t="s">
        <v>136</v>
      </c>
      <c r="J309" t="s">
        <v>20</v>
      </c>
      <c r="K309">
        <v>1</v>
      </c>
      <c r="L309">
        <v>1000688</v>
      </c>
      <c r="M309">
        <v>50000</v>
      </c>
      <c r="N309" t="s">
        <v>137</v>
      </c>
      <c r="O309" t="s">
        <v>161</v>
      </c>
      <c r="P309" t="s">
        <v>139</v>
      </c>
      <c r="Q309" t="s">
        <v>21</v>
      </c>
    </row>
    <row r="310" spans="1:17" x14ac:dyDescent="0.25">
      <c r="A310" t="s">
        <v>709</v>
      </c>
      <c r="B310" t="s">
        <v>551</v>
      </c>
      <c r="C310" t="s">
        <v>452</v>
      </c>
      <c r="D310" s="8">
        <v>46057</v>
      </c>
      <c r="E310" t="s">
        <v>114</v>
      </c>
      <c r="F310" t="s">
        <v>23</v>
      </c>
      <c r="G310" t="s">
        <v>23</v>
      </c>
      <c r="H310" t="s">
        <v>1315</v>
      </c>
      <c r="I310" t="s">
        <v>177</v>
      </c>
      <c r="J310" t="s">
        <v>25</v>
      </c>
      <c r="K310">
        <v>3</v>
      </c>
      <c r="L310">
        <v>1832714</v>
      </c>
      <c r="M310">
        <v>50000</v>
      </c>
      <c r="N310" t="s">
        <v>137</v>
      </c>
      <c r="O310" t="s">
        <v>161</v>
      </c>
      <c r="P310" t="s">
        <v>156</v>
      </c>
      <c r="Q310" t="s">
        <v>21</v>
      </c>
    </row>
    <row r="311" spans="1:17" x14ac:dyDescent="0.25">
      <c r="A311" t="s">
        <v>710</v>
      </c>
      <c r="B311" t="s">
        <v>543</v>
      </c>
      <c r="C311" t="s">
        <v>146</v>
      </c>
      <c r="D311" s="8">
        <v>46027</v>
      </c>
      <c r="E311" t="s">
        <v>116</v>
      </c>
      <c r="F311" t="s">
        <v>34</v>
      </c>
      <c r="G311" t="s">
        <v>34</v>
      </c>
      <c r="H311" t="s">
        <v>143</v>
      </c>
      <c r="I311" t="s">
        <v>39</v>
      </c>
      <c r="J311" t="s">
        <v>29</v>
      </c>
      <c r="K311">
        <v>1</v>
      </c>
      <c r="L311">
        <v>2373971</v>
      </c>
      <c r="M311">
        <v>50000</v>
      </c>
      <c r="N311" t="s">
        <v>137</v>
      </c>
      <c r="O311" t="s">
        <v>138</v>
      </c>
      <c r="P311" t="s">
        <v>139</v>
      </c>
      <c r="Q311" t="s">
        <v>21</v>
      </c>
    </row>
    <row r="312" spans="1:17" x14ac:dyDescent="0.25">
      <c r="A312" t="s">
        <v>711</v>
      </c>
      <c r="B312" t="s">
        <v>396</v>
      </c>
      <c r="C312" t="s">
        <v>246</v>
      </c>
      <c r="D312" s="8">
        <v>46075</v>
      </c>
      <c r="E312" t="s">
        <v>114</v>
      </c>
      <c r="F312" t="s">
        <v>34</v>
      </c>
      <c r="G312" t="s">
        <v>34</v>
      </c>
      <c r="H312" t="s">
        <v>143</v>
      </c>
      <c r="I312" t="s">
        <v>39</v>
      </c>
      <c r="J312" t="s">
        <v>20</v>
      </c>
      <c r="K312">
        <v>4</v>
      </c>
      <c r="L312">
        <v>1778693</v>
      </c>
      <c r="M312">
        <v>15000</v>
      </c>
      <c r="N312" t="s">
        <v>137</v>
      </c>
      <c r="O312" t="s">
        <v>138</v>
      </c>
      <c r="P312" t="s">
        <v>139</v>
      </c>
      <c r="Q312" t="s">
        <v>21</v>
      </c>
    </row>
    <row r="313" spans="1:17" x14ac:dyDescent="0.25">
      <c r="A313" t="s">
        <v>712</v>
      </c>
      <c r="B313" t="s">
        <v>359</v>
      </c>
      <c r="C313" t="s">
        <v>146</v>
      </c>
      <c r="D313" s="8">
        <v>46140</v>
      </c>
      <c r="E313" t="s">
        <v>117</v>
      </c>
      <c r="F313" t="s">
        <v>18</v>
      </c>
      <c r="G313" t="s">
        <v>18</v>
      </c>
      <c r="H313" t="s">
        <v>1315</v>
      </c>
      <c r="I313" t="s">
        <v>173</v>
      </c>
      <c r="J313" t="s">
        <v>25</v>
      </c>
      <c r="K313">
        <v>2</v>
      </c>
      <c r="L313">
        <v>896063</v>
      </c>
      <c r="M313">
        <v>15000</v>
      </c>
      <c r="N313" t="s">
        <v>137</v>
      </c>
      <c r="O313" t="s">
        <v>149</v>
      </c>
      <c r="P313" t="s">
        <v>156</v>
      </c>
      <c r="Q313" t="s">
        <v>21</v>
      </c>
    </row>
    <row r="314" spans="1:17" x14ac:dyDescent="0.25">
      <c r="A314" t="s">
        <v>713</v>
      </c>
      <c r="B314" t="s">
        <v>492</v>
      </c>
      <c r="C314" t="s">
        <v>146</v>
      </c>
      <c r="D314" s="8">
        <v>46068</v>
      </c>
      <c r="E314" t="s">
        <v>114</v>
      </c>
      <c r="F314" t="s">
        <v>18</v>
      </c>
      <c r="G314" t="s">
        <v>18</v>
      </c>
      <c r="H314" t="s">
        <v>28</v>
      </c>
      <c r="I314" t="s">
        <v>169</v>
      </c>
      <c r="J314" t="s">
        <v>32</v>
      </c>
      <c r="K314">
        <v>2</v>
      </c>
      <c r="L314">
        <v>1773383</v>
      </c>
      <c r="M314">
        <v>50000</v>
      </c>
      <c r="N314" t="s">
        <v>137</v>
      </c>
      <c r="O314" t="s">
        <v>161</v>
      </c>
      <c r="P314" t="s">
        <v>156</v>
      </c>
      <c r="Q314" t="s">
        <v>21</v>
      </c>
    </row>
    <row r="315" spans="1:17" x14ac:dyDescent="0.25">
      <c r="A315" t="s">
        <v>714</v>
      </c>
      <c r="B315" t="s">
        <v>267</v>
      </c>
      <c r="C315" t="s">
        <v>281</v>
      </c>
      <c r="D315" s="8">
        <v>46157</v>
      </c>
      <c r="E315" t="s">
        <v>26</v>
      </c>
      <c r="F315" t="s">
        <v>23</v>
      </c>
      <c r="G315" t="s">
        <v>23</v>
      </c>
      <c r="H315" t="s">
        <v>160</v>
      </c>
      <c r="I315" t="s">
        <v>169</v>
      </c>
      <c r="J315" t="s">
        <v>20</v>
      </c>
      <c r="K315">
        <v>5</v>
      </c>
      <c r="L315">
        <v>695841</v>
      </c>
      <c r="M315">
        <v>0</v>
      </c>
      <c r="N315" t="s">
        <v>137</v>
      </c>
      <c r="O315" t="s">
        <v>138</v>
      </c>
      <c r="P315" t="s">
        <v>156</v>
      </c>
      <c r="Q315" t="s">
        <v>1318</v>
      </c>
    </row>
    <row r="316" spans="1:17" x14ac:dyDescent="0.25">
      <c r="A316" t="s">
        <v>715</v>
      </c>
      <c r="B316" t="s">
        <v>486</v>
      </c>
      <c r="C316" t="s">
        <v>172</v>
      </c>
      <c r="D316" s="8">
        <v>46044</v>
      </c>
      <c r="E316" t="s">
        <v>116</v>
      </c>
      <c r="F316" t="s">
        <v>23</v>
      </c>
      <c r="G316" t="s">
        <v>23</v>
      </c>
      <c r="H316" t="s">
        <v>160</v>
      </c>
      <c r="I316" t="s">
        <v>147</v>
      </c>
      <c r="J316" t="s">
        <v>25</v>
      </c>
      <c r="K316">
        <v>6</v>
      </c>
      <c r="L316">
        <v>1242632</v>
      </c>
      <c r="M316">
        <v>15000</v>
      </c>
      <c r="N316" t="s">
        <v>137</v>
      </c>
      <c r="O316" t="s">
        <v>165</v>
      </c>
      <c r="P316" t="s">
        <v>156</v>
      </c>
      <c r="Q316" t="s">
        <v>21</v>
      </c>
    </row>
    <row r="317" spans="1:17" x14ac:dyDescent="0.25">
      <c r="A317" t="s">
        <v>716</v>
      </c>
      <c r="B317" t="s">
        <v>316</v>
      </c>
      <c r="C317" t="s">
        <v>317</v>
      </c>
      <c r="D317" s="8">
        <v>46058</v>
      </c>
      <c r="E317" t="s">
        <v>114</v>
      </c>
      <c r="F317" t="s">
        <v>18</v>
      </c>
      <c r="G317" t="s">
        <v>18</v>
      </c>
      <c r="H317" t="s">
        <v>160</v>
      </c>
      <c r="I317" t="s">
        <v>147</v>
      </c>
      <c r="J317" t="s">
        <v>25</v>
      </c>
      <c r="K317">
        <v>4</v>
      </c>
      <c r="L317">
        <v>2135050</v>
      </c>
      <c r="M317">
        <v>50000</v>
      </c>
      <c r="N317" t="s">
        <v>148</v>
      </c>
      <c r="O317" t="s">
        <v>165</v>
      </c>
      <c r="P317" t="s">
        <v>156</v>
      </c>
      <c r="Q317" t="s">
        <v>21</v>
      </c>
    </row>
    <row r="318" spans="1:17" x14ac:dyDescent="0.25">
      <c r="A318" t="s">
        <v>717</v>
      </c>
      <c r="B318" t="s">
        <v>718</v>
      </c>
      <c r="C318" t="s">
        <v>155</v>
      </c>
      <c r="D318" s="8">
        <v>46034</v>
      </c>
      <c r="E318" t="s">
        <v>116</v>
      </c>
      <c r="F318" t="s">
        <v>31</v>
      </c>
      <c r="G318" t="s">
        <v>31</v>
      </c>
      <c r="H318" t="s">
        <v>143</v>
      </c>
      <c r="I318" t="s">
        <v>173</v>
      </c>
      <c r="J318" t="s">
        <v>29</v>
      </c>
      <c r="K318">
        <v>3</v>
      </c>
      <c r="L318">
        <v>551238</v>
      </c>
      <c r="M318">
        <v>50000</v>
      </c>
      <c r="N318" t="s">
        <v>137</v>
      </c>
      <c r="O318" t="s">
        <v>165</v>
      </c>
      <c r="P318" t="s">
        <v>156</v>
      </c>
      <c r="Q318" t="s">
        <v>21</v>
      </c>
    </row>
    <row r="319" spans="1:17" x14ac:dyDescent="0.25">
      <c r="A319" t="s">
        <v>719</v>
      </c>
      <c r="B319" t="s">
        <v>720</v>
      </c>
      <c r="C319" t="s">
        <v>33</v>
      </c>
      <c r="D319" s="8">
        <v>46132</v>
      </c>
      <c r="E319" t="s">
        <v>117</v>
      </c>
      <c r="F319" t="s">
        <v>31</v>
      </c>
      <c r="G319" t="s">
        <v>31</v>
      </c>
      <c r="H319" t="s">
        <v>160</v>
      </c>
      <c r="I319" t="s">
        <v>39</v>
      </c>
      <c r="J319" t="s">
        <v>29</v>
      </c>
      <c r="K319">
        <v>3</v>
      </c>
      <c r="L319">
        <v>1736413</v>
      </c>
      <c r="M319">
        <v>15000</v>
      </c>
      <c r="N319" t="s">
        <v>137</v>
      </c>
      <c r="O319" t="s">
        <v>161</v>
      </c>
      <c r="P319" t="s">
        <v>156</v>
      </c>
      <c r="Q319" t="s">
        <v>21</v>
      </c>
    </row>
    <row r="320" spans="1:17" x14ac:dyDescent="0.25">
      <c r="A320" t="s">
        <v>721</v>
      </c>
      <c r="B320" t="s">
        <v>722</v>
      </c>
      <c r="C320" t="s">
        <v>172</v>
      </c>
      <c r="D320" s="8">
        <v>46049</v>
      </c>
      <c r="E320" t="s">
        <v>116</v>
      </c>
      <c r="F320" t="s">
        <v>23</v>
      </c>
      <c r="G320" t="s">
        <v>23</v>
      </c>
      <c r="H320" t="s">
        <v>160</v>
      </c>
      <c r="I320" t="s">
        <v>147</v>
      </c>
      <c r="J320" t="s">
        <v>29</v>
      </c>
      <c r="K320">
        <v>1</v>
      </c>
      <c r="L320">
        <v>1302014</v>
      </c>
      <c r="M320">
        <v>25000</v>
      </c>
      <c r="N320" t="s">
        <v>137</v>
      </c>
      <c r="O320" t="s">
        <v>161</v>
      </c>
      <c r="P320" t="s">
        <v>156</v>
      </c>
      <c r="Q320" t="s">
        <v>21</v>
      </c>
    </row>
    <row r="321" spans="1:17" x14ac:dyDescent="0.25">
      <c r="A321" t="s">
        <v>723</v>
      </c>
      <c r="B321" t="s">
        <v>595</v>
      </c>
      <c r="C321" t="s">
        <v>441</v>
      </c>
      <c r="D321" s="8">
        <v>46158</v>
      </c>
      <c r="E321" t="s">
        <v>26</v>
      </c>
      <c r="F321" t="s">
        <v>34</v>
      </c>
      <c r="G321" t="s">
        <v>34</v>
      </c>
      <c r="H321" t="s">
        <v>1315</v>
      </c>
      <c r="I321" t="s">
        <v>136</v>
      </c>
      <c r="J321" t="s">
        <v>20</v>
      </c>
      <c r="K321">
        <v>2</v>
      </c>
      <c r="L321">
        <v>1524437</v>
      </c>
      <c r="M321">
        <v>50000</v>
      </c>
      <c r="N321" t="s">
        <v>137</v>
      </c>
      <c r="O321" t="s">
        <v>161</v>
      </c>
      <c r="P321" t="s">
        <v>139</v>
      </c>
      <c r="Q321" t="s">
        <v>21</v>
      </c>
    </row>
    <row r="322" spans="1:17" x14ac:dyDescent="0.25">
      <c r="A322" t="s">
        <v>724</v>
      </c>
      <c r="B322" t="s">
        <v>725</v>
      </c>
      <c r="C322" t="s">
        <v>726</v>
      </c>
      <c r="D322" s="8">
        <v>46150</v>
      </c>
      <c r="E322" t="s">
        <v>26</v>
      </c>
      <c r="F322" t="s">
        <v>23</v>
      </c>
      <c r="G322" t="s">
        <v>23</v>
      </c>
      <c r="H322" t="s">
        <v>143</v>
      </c>
      <c r="I322" t="s">
        <v>169</v>
      </c>
      <c r="J322" t="s">
        <v>29</v>
      </c>
      <c r="K322">
        <v>7</v>
      </c>
      <c r="L322">
        <v>1668170</v>
      </c>
      <c r="M322">
        <v>25000</v>
      </c>
      <c r="N322" t="s">
        <v>43</v>
      </c>
      <c r="O322" t="s">
        <v>165</v>
      </c>
      <c r="P322" t="s">
        <v>139</v>
      </c>
      <c r="Q322" t="s">
        <v>21</v>
      </c>
    </row>
    <row r="323" spans="1:17" x14ac:dyDescent="0.25">
      <c r="A323" t="s">
        <v>727</v>
      </c>
      <c r="B323" t="s">
        <v>219</v>
      </c>
      <c r="C323" t="s">
        <v>220</v>
      </c>
      <c r="D323" s="8">
        <v>46122</v>
      </c>
      <c r="E323" t="s">
        <v>117</v>
      </c>
      <c r="F323" t="s">
        <v>34</v>
      </c>
      <c r="G323" t="s">
        <v>34</v>
      </c>
      <c r="H323" t="s">
        <v>143</v>
      </c>
      <c r="I323" t="s">
        <v>173</v>
      </c>
      <c r="J323" t="s">
        <v>25</v>
      </c>
      <c r="K323">
        <v>7</v>
      </c>
      <c r="L323">
        <v>1993576</v>
      </c>
      <c r="M323">
        <v>35000</v>
      </c>
      <c r="N323" t="s">
        <v>137</v>
      </c>
      <c r="O323" t="s">
        <v>138</v>
      </c>
      <c r="P323" t="s">
        <v>156</v>
      </c>
      <c r="Q323" t="s">
        <v>21</v>
      </c>
    </row>
    <row r="324" spans="1:17" x14ac:dyDescent="0.25">
      <c r="A324" t="s">
        <v>728</v>
      </c>
      <c r="B324" t="s">
        <v>359</v>
      </c>
      <c r="C324" t="s">
        <v>146</v>
      </c>
      <c r="D324" s="8">
        <v>46121</v>
      </c>
      <c r="E324" t="s">
        <v>117</v>
      </c>
      <c r="F324" t="s">
        <v>31</v>
      </c>
      <c r="G324" t="s">
        <v>31</v>
      </c>
      <c r="H324" t="s">
        <v>1315</v>
      </c>
      <c r="I324" t="s">
        <v>177</v>
      </c>
      <c r="J324" t="s">
        <v>29</v>
      </c>
      <c r="K324">
        <v>4</v>
      </c>
      <c r="L324">
        <v>1598948</v>
      </c>
      <c r="M324">
        <v>25000</v>
      </c>
      <c r="N324" t="s">
        <v>137</v>
      </c>
      <c r="O324" t="s">
        <v>138</v>
      </c>
      <c r="P324" t="s">
        <v>139</v>
      </c>
      <c r="Q324" t="s">
        <v>21</v>
      </c>
    </row>
    <row r="325" spans="1:17" x14ac:dyDescent="0.25">
      <c r="A325" t="s">
        <v>729</v>
      </c>
      <c r="B325" t="s">
        <v>445</v>
      </c>
      <c r="C325" t="s">
        <v>446</v>
      </c>
      <c r="D325" s="8">
        <v>46163</v>
      </c>
      <c r="E325" t="s">
        <v>26</v>
      </c>
      <c r="F325" t="s">
        <v>18</v>
      </c>
      <c r="G325" t="s">
        <v>18</v>
      </c>
      <c r="H325" t="s">
        <v>28</v>
      </c>
      <c r="I325" t="s">
        <v>173</v>
      </c>
      <c r="J325" t="s">
        <v>35</v>
      </c>
      <c r="K325">
        <v>5</v>
      </c>
      <c r="L325">
        <v>2204998</v>
      </c>
      <c r="M325">
        <v>50000</v>
      </c>
      <c r="N325" t="s">
        <v>137</v>
      </c>
      <c r="O325" t="s">
        <v>407</v>
      </c>
      <c r="P325" t="s">
        <v>139</v>
      </c>
      <c r="Q325" t="s">
        <v>21</v>
      </c>
    </row>
    <row r="326" spans="1:17" x14ac:dyDescent="0.25">
      <c r="A326" t="s">
        <v>730</v>
      </c>
      <c r="B326" t="s">
        <v>731</v>
      </c>
      <c r="C326" t="s">
        <v>287</v>
      </c>
      <c r="D326" s="8">
        <v>46170</v>
      </c>
      <c r="E326" t="s">
        <v>26</v>
      </c>
      <c r="F326" t="s">
        <v>23</v>
      </c>
      <c r="G326" t="s">
        <v>23</v>
      </c>
      <c r="H326" t="s">
        <v>1315</v>
      </c>
      <c r="I326" t="s">
        <v>147</v>
      </c>
      <c r="J326" t="s">
        <v>32</v>
      </c>
      <c r="K326">
        <v>2</v>
      </c>
      <c r="L326">
        <v>1039953</v>
      </c>
      <c r="M326">
        <v>0</v>
      </c>
      <c r="N326" t="s">
        <v>137</v>
      </c>
      <c r="O326" t="s">
        <v>161</v>
      </c>
      <c r="P326" t="s">
        <v>156</v>
      </c>
      <c r="Q326" t="s">
        <v>1318</v>
      </c>
    </row>
    <row r="327" spans="1:17" x14ac:dyDescent="0.25">
      <c r="A327" t="s">
        <v>732</v>
      </c>
      <c r="B327" t="s">
        <v>733</v>
      </c>
      <c r="C327" t="s">
        <v>726</v>
      </c>
      <c r="D327" s="8">
        <v>46051</v>
      </c>
      <c r="E327" t="s">
        <v>116</v>
      </c>
      <c r="F327" t="s">
        <v>34</v>
      </c>
      <c r="G327" t="s">
        <v>34</v>
      </c>
      <c r="H327" t="s">
        <v>28</v>
      </c>
      <c r="I327" t="s">
        <v>177</v>
      </c>
      <c r="J327" t="s">
        <v>35</v>
      </c>
      <c r="K327">
        <v>3</v>
      </c>
      <c r="L327" t="s">
        <v>734</v>
      </c>
      <c r="M327">
        <v>25000</v>
      </c>
      <c r="N327" t="s">
        <v>148</v>
      </c>
      <c r="O327" t="s">
        <v>149</v>
      </c>
      <c r="P327" t="s">
        <v>139</v>
      </c>
      <c r="Q327" t="s">
        <v>21</v>
      </c>
    </row>
    <row r="328" spans="1:17" x14ac:dyDescent="0.25">
      <c r="A328" t="s">
        <v>735</v>
      </c>
      <c r="B328" t="s">
        <v>736</v>
      </c>
      <c r="C328" t="s">
        <v>195</v>
      </c>
      <c r="D328" s="8">
        <v>46076</v>
      </c>
      <c r="E328" t="s">
        <v>114</v>
      </c>
      <c r="F328" t="s">
        <v>18</v>
      </c>
      <c r="G328" t="s">
        <v>18</v>
      </c>
      <c r="H328" t="s">
        <v>28</v>
      </c>
      <c r="I328" t="s">
        <v>169</v>
      </c>
      <c r="J328" t="s">
        <v>20</v>
      </c>
      <c r="K328">
        <v>6</v>
      </c>
      <c r="L328">
        <v>1061986</v>
      </c>
      <c r="M328">
        <v>0</v>
      </c>
      <c r="N328" t="s">
        <v>137</v>
      </c>
      <c r="O328" t="s">
        <v>149</v>
      </c>
      <c r="P328" t="s">
        <v>139</v>
      </c>
      <c r="Q328" t="s">
        <v>1318</v>
      </c>
    </row>
    <row r="329" spans="1:17" x14ac:dyDescent="0.25">
      <c r="A329" t="s">
        <v>737</v>
      </c>
      <c r="B329" t="s">
        <v>237</v>
      </c>
      <c r="C329" t="s">
        <v>205</v>
      </c>
      <c r="D329" s="8">
        <v>46036</v>
      </c>
      <c r="E329" t="s">
        <v>116</v>
      </c>
      <c r="F329" t="s">
        <v>18</v>
      </c>
      <c r="G329" t="s">
        <v>18</v>
      </c>
      <c r="H329" t="s">
        <v>160</v>
      </c>
      <c r="I329" t="s">
        <v>177</v>
      </c>
      <c r="J329" t="s">
        <v>25</v>
      </c>
      <c r="K329">
        <v>1</v>
      </c>
      <c r="L329">
        <v>564637</v>
      </c>
      <c r="M329">
        <v>50000</v>
      </c>
      <c r="N329" t="s">
        <v>137</v>
      </c>
      <c r="O329" t="s">
        <v>138</v>
      </c>
      <c r="P329" t="s">
        <v>156</v>
      </c>
      <c r="Q329" t="s">
        <v>21</v>
      </c>
    </row>
    <row r="330" spans="1:17" x14ac:dyDescent="0.25">
      <c r="A330" t="s">
        <v>738</v>
      </c>
      <c r="B330" t="s">
        <v>739</v>
      </c>
      <c r="C330" t="s">
        <v>192</v>
      </c>
      <c r="D330" s="8">
        <v>46085</v>
      </c>
      <c r="E330" t="s">
        <v>115</v>
      </c>
      <c r="F330" t="s">
        <v>31</v>
      </c>
      <c r="G330" t="s">
        <v>31</v>
      </c>
      <c r="H330" t="s">
        <v>143</v>
      </c>
      <c r="I330" t="s">
        <v>169</v>
      </c>
      <c r="J330" t="s">
        <v>35</v>
      </c>
      <c r="K330">
        <v>5</v>
      </c>
      <c r="L330">
        <v>443235</v>
      </c>
      <c r="M330">
        <v>0</v>
      </c>
      <c r="N330" t="s">
        <v>417</v>
      </c>
      <c r="O330" t="s">
        <v>149</v>
      </c>
      <c r="P330" t="s">
        <v>139</v>
      </c>
      <c r="Q330" t="s">
        <v>1318</v>
      </c>
    </row>
    <row r="331" spans="1:17" x14ac:dyDescent="0.25">
      <c r="A331" t="s">
        <v>740</v>
      </c>
      <c r="B331" t="s">
        <v>257</v>
      </c>
      <c r="C331" t="s">
        <v>258</v>
      </c>
      <c r="D331" s="8">
        <v>46128</v>
      </c>
      <c r="E331" t="s">
        <v>117</v>
      </c>
      <c r="F331" t="s">
        <v>23</v>
      </c>
      <c r="G331" t="s">
        <v>23</v>
      </c>
      <c r="H331" t="s">
        <v>143</v>
      </c>
      <c r="I331" t="s">
        <v>173</v>
      </c>
      <c r="J331" t="s">
        <v>20</v>
      </c>
      <c r="K331">
        <v>7</v>
      </c>
      <c r="L331">
        <v>1534893</v>
      </c>
      <c r="M331">
        <v>35000</v>
      </c>
      <c r="N331" t="s">
        <v>137</v>
      </c>
      <c r="O331" t="s">
        <v>161</v>
      </c>
      <c r="P331" t="s">
        <v>156</v>
      </c>
      <c r="Q331" t="s">
        <v>21</v>
      </c>
    </row>
    <row r="332" spans="1:17" x14ac:dyDescent="0.25">
      <c r="A332" t="s">
        <v>741</v>
      </c>
      <c r="B332" t="s">
        <v>635</v>
      </c>
      <c r="C332" t="s">
        <v>261</v>
      </c>
      <c r="D332" s="8">
        <v>46064</v>
      </c>
      <c r="E332" t="s">
        <v>114</v>
      </c>
      <c r="F332" t="s">
        <v>31</v>
      </c>
      <c r="G332" t="s">
        <v>31</v>
      </c>
      <c r="H332" t="s">
        <v>1315</v>
      </c>
      <c r="I332" t="s">
        <v>147</v>
      </c>
      <c r="J332" t="s">
        <v>35</v>
      </c>
      <c r="K332">
        <v>7</v>
      </c>
      <c r="L332">
        <v>165581</v>
      </c>
      <c r="M332">
        <v>35000</v>
      </c>
      <c r="N332" t="s">
        <v>137</v>
      </c>
      <c r="O332" t="s">
        <v>149</v>
      </c>
      <c r="P332" t="s">
        <v>139</v>
      </c>
      <c r="Q332" t="s">
        <v>21</v>
      </c>
    </row>
    <row r="333" spans="1:17" x14ac:dyDescent="0.25">
      <c r="A333" t="s">
        <v>742</v>
      </c>
      <c r="B333" t="s">
        <v>743</v>
      </c>
      <c r="C333" t="s">
        <v>164</v>
      </c>
      <c r="D333" s="8">
        <v>46081</v>
      </c>
      <c r="E333" t="s">
        <v>114</v>
      </c>
      <c r="F333" t="s">
        <v>18</v>
      </c>
      <c r="G333" t="s">
        <v>18</v>
      </c>
      <c r="H333" t="s">
        <v>143</v>
      </c>
      <c r="I333" t="s">
        <v>39</v>
      </c>
      <c r="J333" t="s">
        <v>35</v>
      </c>
      <c r="K333">
        <v>3</v>
      </c>
      <c r="L333">
        <v>1897001</v>
      </c>
      <c r="M333">
        <v>15000</v>
      </c>
      <c r="N333" t="s">
        <v>37</v>
      </c>
      <c r="O333" t="s">
        <v>149</v>
      </c>
      <c r="P333" t="s">
        <v>156</v>
      </c>
      <c r="Q333" t="s">
        <v>21</v>
      </c>
    </row>
    <row r="334" spans="1:17" x14ac:dyDescent="0.25">
      <c r="A334" t="s">
        <v>744</v>
      </c>
      <c r="B334" t="s">
        <v>580</v>
      </c>
      <c r="C334" t="s">
        <v>33</v>
      </c>
      <c r="D334" s="8">
        <v>25569</v>
      </c>
      <c r="E334" t="s">
        <v>116</v>
      </c>
      <c r="F334" t="s">
        <v>34</v>
      </c>
      <c r="G334" t="s">
        <v>34</v>
      </c>
      <c r="H334" t="s">
        <v>28</v>
      </c>
      <c r="I334" t="s">
        <v>39</v>
      </c>
      <c r="J334" t="s">
        <v>29</v>
      </c>
      <c r="K334">
        <v>5</v>
      </c>
      <c r="M334">
        <v>50000</v>
      </c>
      <c r="N334" t="s">
        <v>148</v>
      </c>
      <c r="O334" t="s">
        <v>165</v>
      </c>
      <c r="P334" t="s">
        <v>156</v>
      </c>
      <c r="Q334" t="s">
        <v>1326</v>
      </c>
    </row>
    <row r="335" spans="1:17" x14ac:dyDescent="0.25">
      <c r="A335" t="s">
        <v>745</v>
      </c>
      <c r="B335" t="s">
        <v>746</v>
      </c>
      <c r="C335" t="s">
        <v>192</v>
      </c>
      <c r="D335" s="8">
        <v>46118</v>
      </c>
      <c r="E335" t="s">
        <v>117</v>
      </c>
      <c r="F335" t="s">
        <v>27</v>
      </c>
      <c r="G335" t="s">
        <v>27</v>
      </c>
      <c r="H335" t="s">
        <v>1315</v>
      </c>
      <c r="I335" t="s">
        <v>173</v>
      </c>
      <c r="J335" t="s">
        <v>29</v>
      </c>
      <c r="K335">
        <v>3</v>
      </c>
      <c r="L335">
        <v>1899315</v>
      </c>
      <c r="M335">
        <v>15000</v>
      </c>
      <c r="N335" t="s">
        <v>137</v>
      </c>
      <c r="O335" t="s">
        <v>161</v>
      </c>
      <c r="P335" t="s">
        <v>139</v>
      </c>
      <c r="Q335" t="s">
        <v>21</v>
      </c>
    </row>
    <row r="336" spans="1:17" x14ac:dyDescent="0.25">
      <c r="A336" t="s">
        <v>747</v>
      </c>
      <c r="B336" t="s">
        <v>626</v>
      </c>
      <c r="C336" t="s">
        <v>135</v>
      </c>
      <c r="D336" s="8">
        <v>46161</v>
      </c>
      <c r="E336" t="s">
        <v>26</v>
      </c>
      <c r="F336" t="s">
        <v>34</v>
      </c>
      <c r="G336" t="s">
        <v>34</v>
      </c>
      <c r="H336" t="s">
        <v>143</v>
      </c>
      <c r="I336" t="s">
        <v>147</v>
      </c>
      <c r="J336" t="s">
        <v>29</v>
      </c>
      <c r="K336">
        <v>2</v>
      </c>
      <c r="L336">
        <v>566544</v>
      </c>
      <c r="M336">
        <v>0</v>
      </c>
      <c r="N336" t="s">
        <v>137</v>
      </c>
      <c r="O336" t="s">
        <v>138</v>
      </c>
      <c r="P336" t="s">
        <v>156</v>
      </c>
      <c r="Q336" t="s">
        <v>1318</v>
      </c>
    </row>
    <row r="337" spans="1:17" x14ac:dyDescent="0.25">
      <c r="A337" t="s">
        <v>748</v>
      </c>
      <c r="B337" t="s">
        <v>535</v>
      </c>
      <c r="C337" t="s">
        <v>192</v>
      </c>
      <c r="D337" s="8">
        <v>46091</v>
      </c>
      <c r="E337" t="s">
        <v>115</v>
      </c>
      <c r="F337" t="s">
        <v>31</v>
      </c>
      <c r="G337" t="s">
        <v>31</v>
      </c>
      <c r="H337" t="s">
        <v>160</v>
      </c>
      <c r="I337" t="s">
        <v>173</v>
      </c>
      <c r="J337" t="s">
        <v>25</v>
      </c>
      <c r="K337">
        <v>5</v>
      </c>
      <c r="L337">
        <v>476680</v>
      </c>
      <c r="M337">
        <v>50000</v>
      </c>
      <c r="N337" t="s">
        <v>137</v>
      </c>
      <c r="O337" t="s">
        <v>149</v>
      </c>
      <c r="P337" t="s">
        <v>156</v>
      </c>
      <c r="Q337" t="s">
        <v>21</v>
      </c>
    </row>
    <row r="338" spans="1:17" x14ac:dyDescent="0.25">
      <c r="A338" t="s">
        <v>749</v>
      </c>
      <c r="B338" t="s">
        <v>296</v>
      </c>
      <c r="C338" t="s">
        <v>297</v>
      </c>
      <c r="D338" s="8">
        <v>46025</v>
      </c>
      <c r="E338" t="s">
        <v>116</v>
      </c>
      <c r="F338" t="s">
        <v>31</v>
      </c>
      <c r="G338" t="s">
        <v>31</v>
      </c>
      <c r="H338" t="s">
        <v>1315</v>
      </c>
      <c r="I338" t="s">
        <v>177</v>
      </c>
      <c r="J338" t="s">
        <v>20</v>
      </c>
      <c r="K338">
        <v>4</v>
      </c>
      <c r="L338">
        <v>1615894</v>
      </c>
      <c r="M338">
        <v>25000</v>
      </c>
      <c r="N338" t="s">
        <v>137</v>
      </c>
      <c r="O338" t="s">
        <v>161</v>
      </c>
      <c r="P338" t="s">
        <v>139</v>
      </c>
      <c r="Q338" t="s">
        <v>21</v>
      </c>
    </row>
    <row r="339" spans="1:17" x14ac:dyDescent="0.25">
      <c r="A339" t="s">
        <v>750</v>
      </c>
      <c r="B339" t="s">
        <v>599</v>
      </c>
      <c r="C339" t="s">
        <v>22</v>
      </c>
      <c r="D339" s="8">
        <v>46151</v>
      </c>
      <c r="E339" t="s">
        <v>26</v>
      </c>
      <c r="F339" t="s">
        <v>31</v>
      </c>
      <c r="G339" t="s">
        <v>31</v>
      </c>
      <c r="H339" t="s">
        <v>28</v>
      </c>
      <c r="I339" t="s">
        <v>147</v>
      </c>
      <c r="J339" t="s">
        <v>20</v>
      </c>
      <c r="K339">
        <v>7</v>
      </c>
      <c r="L339">
        <v>543636</v>
      </c>
      <c r="M339">
        <v>50000</v>
      </c>
      <c r="N339" t="s">
        <v>137</v>
      </c>
      <c r="O339" t="s">
        <v>161</v>
      </c>
      <c r="P339" t="s">
        <v>139</v>
      </c>
      <c r="Q339" t="s">
        <v>21</v>
      </c>
    </row>
    <row r="340" spans="1:17" x14ac:dyDescent="0.25">
      <c r="A340" t="s">
        <v>751</v>
      </c>
      <c r="B340" t="s">
        <v>626</v>
      </c>
      <c r="C340" t="s">
        <v>135</v>
      </c>
      <c r="D340" s="8">
        <v>46061</v>
      </c>
      <c r="E340" t="s">
        <v>114</v>
      </c>
      <c r="F340" t="s">
        <v>18</v>
      </c>
      <c r="G340" t="s">
        <v>18</v>
      </c>
      <c r="H340" t="s">
        <v>143</v>
      </c>
      <c r="I340" t="s">
        <v>169</v>
      </c>
      <c r="J340" t="s">
        <v>29</v>
      </c>
      <c r="K340">
        <v>6</v>
      </c>
      <c r="L340">
        <v>2062408</v>
      </c>
      <c r="M340">
        <v>0</v>
      </c>
      <c r="N340" t="s">
        <v>137</v>
      </c>
      <c r="O340" t="s">
        <v>138</v>
      </c>
      <c r="P340" t="s">
        <v>139</v>
      </c>
      <c r="Q340" t="s">
        <v>1318</v>
      </c>
    </row>
    <row r="341" spans="1:17" x14ac:dyDescent="0.25">
      <c r="A341" t="s">
        <v>752</v>
      </c>
      <c r="B341" t="s">
        <v>204</v>
      </c>
      <c r="C341" t="s">
        <v>205</v>
      </c>
      <c r="D341" s="8">
        <v>46056</v>
      </c>
      <c r="E341" t="s">
        <v>114</v>
      </c>
      <c r="F341" t="s">
        <v>23</v>
      </c>
      <c r="G341" t="s">
        <v>23</v>
      </c>
      <c r="H341" t="s">
        <v>28</v>
      </c>
      <c r="I341" t="s">
        <v>177</v>
      </c>
      <c r="J341" t="s">
        <v>29</v>
      </c>
      <c r="K341">
        <v>3</v>
      </c>
      <c r="L341">
        <v>1541955</v>
      </c>
      <c r="M341">
        <v>25000</v>
      </c>
      <c r="N341" t="s">
        <v>137</v>
      </c>
      <c r="O341" t="s">
        <v>149</v>
      </c>
      <c r="P341" t="s">
        <v>156</v>
      </c>
      <c r="Q341" t="s">
        <v>21</v>
      </c>
    </row>
    <row r="342" spans="1:17" x14ac:dyDescent="0.25">
      <c r="A342" t="s">
        <v>753</v>
      </c>
      <c r="B342" t="s">
        <v>681</v>
      </c>
      <c r="C342" t="s">
        <v>317</v>
      </c>
      <c r="D342" s="8">
        <v>46168</v>
      </c>
      <c r="E342" t="s">
        <v>26</v>
      </c>
      <c r="F342" t="s">
        <v>34</v>
      </c>
      <c r="G342" t="s">
        <v>34</v>
      </c>
      <c r="H342" t="s">
        <v>160</v>
      </c>
      <c r="I342" t="s">
        <v>39</v>
      </c>
      <c r="J342" t="s">
        <v>20</v>
      </c>
      <c r="K342">
        <v>7</v>
      </c>
      <c r="L342">
        <v>2206761</v>
      </c>
      <c r="M342">
        <v>0</v>
      </c>
      <c r="N342" t="s">
        <v>137</v>
      </c>
      <c r="O342" t="s">
        <v>138</v>
      </c>
      <c r="P342" t="s">
        <v>139</v>
      </c>
      <c r="Q342" t="s">
        <v>1318</v>
      </c>
    </row>
    <row r="343" spans="1:17" x14ac:dyDescent="0.25">
      <c r="A343" t="s">
        <v>754</v>
      </c>
      <c r="B343" t="s">
        <v>333</v>
      </c>
      <c r="C343" t="s">
        <v>334</v>
      </c>
      <c r="D343" s="8">
        <v>46066</v>
      </c>
      <c r="E343" t="s">
        <v>114</v>
      </c>
      <c r="F343" t="s">
        <v>23</v>
      </c>
      <c r="G343" t="s">
        <v>23</v>
      </c>
      <c r="H343" t="s">
        <v>160</v>
      </c>
      <c r="I343" t="s">
        <v>177</v>
      </c>
      <c r="J343" t="s">
        <v>32</v>
      </c>
      <c r="K343">
        <v>1</v>
      </c>
      <c r="L343">
        <v>1359870</v>
      </c>
      <c r="M343">
        <v>15000</v>
      </c>
      <c r="N343" t="s">
        <v>137</v>
      </c>
      <c r="O343" t="s">
        <v>138</v>
      </c>
      <c r="P343" t="s">
        <v>139</v>
      </c>
      <c r="Q343" t="s">
        <v>21</v>
      </c>
    </row>
    <row r="344" spans="1:17" x14ac:dyDescent="0.25">
      <c r="A344" t="s">
        <v>755</v>
      </c>
      <c r="B344" t="s">
        <v>188</v>
      </c>
      <c r="C344" t="s">
        <v>189</v>
      </c>
      <c r="D344" s="8">
        <v>46088</v>
      </c>
      <c r="E344" t="s">
        <v>115</v>
      </c>
      <c r="F344" t="s">
        <v>34</v>
      </c>
      <c r="G344" t="s">
        <v>34</v>
      </c>
      <c r="H344" t="s">
        <v>28</v>
      </c>
      <c r="I344" t="s">
        <v>39</v>
      </c>
      <c r="J344" t="s">
        <v>35</v>
      </c>
      <c r="K344">
        <v>1</v>
      </c>
      <c r="L344">
        <v>1974072</v>
      </c>
      <c r="M344">
        <v>15000</v>
      </c>
      <c r="N344" t="s">
        <v>37</v>
      </c>
      <c r="O344" t="s">
        <v>165</v>
      </c>
      <c r="P344" t="s">
        <v>156</v>
      </c>
      <c r="Q344" t="s">
        <v>21</v>
      </c>
    </row>
    <row r="345" spans="1:17" x14ac:dyDescent="0.25">
      <c r="A345" t="s">
        <v>756</v>
      </c>
      <c r="B345" t="s">
        <v>683</v>
      </c>
      <c r="C345" t="s">
        <v>684</v>
      </c>
      <c r="D345" s="8">
        <v>46116</v>
      </c>
      <c r="E345" t="s">
        <v>117</v>
      </c>
      <c r="F345" t="s">
        <v>27</v>
      </c>
      <c r="G345" t="s">
        <v>27</v>
      </c>
      <c r="H345" t="s">
        <v>28</v>
      </c>
      <c r="I345" t="s">
        <v>136</v>
      </c>
      <c r="J345" t="s">
        <v>20</v>
      </c>
      <c r="K345">
        <v>3</v>
      </c>
      <c r="L345">
        <v>2269493</v>
      </c>
      <c r="M345">
        <v>50000</v>
      </c>
      <c r="N345" t="s">
        <v>137</v>
      </c>
      <c r="O345" t="s">
        <v>138</v>
      </c>
      <c r="P345" t="s">
        <v>156</v>
      </c>
      <c r="Q345" t="s">
        <v>21</v>
      </c>
    </row>
    <row r="346" spans="1:17" x14ac:dyDescent="0.25">
      <c r="A346" t="s">
        <v>757</v>
      </c>
      <c r="B346" t="s">
        <v>758</v>
      </c>
      <c r="C346" t="s">
        <v>759</v>
      </c>
      <c r="D346" s="8">
        <v>46085</v>
      </c>
      <c r="E346" t="s">
        <v>115</v>
      </c>
      <c r="F346" t="s">
        <v>31</v>
      </c>
      <c r="G346" t="s">
        <v>31</v>
      </c>
      <c r="H346" t="s">
        <v>160</v>
      </c>
      <c r="I346" t="s">
        <v>177</v>
      </c>
      <c r="J346" t="s">
        <v>32</v>
      </c>
      <c r="K346">
        <v>2</v>
      </c>
      <c r="L346">
        <v>2472167</v>
      </c>
      <c r="M346">
        <v>0</v>
      </c>
      <c r="N346" t="s">
        <v>148</v>
      </c>
      <c r="O346" t="s">
        <v>138</v>
      </c>
      <c r="P346" t="s">
        <v>139</v>
      </c>
      <c r="Q346" t="s">
        <v>1318</v>
      </c>
    </row>
    <row r="347" spans="1:17" x14ac:dyDescent="0.25">
      <c r="A347" t="s">
        <v>760</v>
      </c>
      <c r="B347" t="s">
        <v>761</v>
      </c>
      <c r="C347" t="s">
        <v>762</v>
      </c>
      <c r="D347" s="8">
        <v>46046</v>
      </c>
      <c r="E347" t="s">
        <v>116</v>
      </c>
      <c r="F347" t="s">
        <v>31</v>
      </c>
      <c r="G347" t="s">
        <v>31</v>
      </c>
      <c r="H347" t="s">
        <v>160</v>
      </c>
      <c r="I347" t="s">
        <v>173</v>
      </c>
      <c r="J347" t="s">
        <v>29</v>
      </c>
      <c r="K347">
        <v>4</v>
      </c>
      <c r="L347">
        <v>1583551</v>
      </c>
      <c r="M347">
        <v>35000</v>
      </c>
      <c r="N347" t="s">
        <v>137</v>
      </c>
      <c r="O347" t="s">
        <v>249</v>
      </c>
      <c r="P347" t="s">
        <v>156</v>
      </c>
      <c r="Q347" t="s">
        <v>21</v>
      </c>
    </row>
    <row r="348" spans="1:17" x14ac:dyDescent="0.25">
      <c r="A348" t="s">
        <v>763</v>
      </c>
      <c r="B348" t="s">
        <v>725</v>
      </c>
      <c r="C348" t="s">
        <v>726</v>
      </c>
      <c r="D348" s="8">
        <v>46124</v>
      </c>
      <c r="E348" t="s">
        <v>117</v>
      </c>
      <c r="F348" t="s">
        <v>27</v>
      </c>
      <c r="G348" t="s">
        <v>27</v>
      </c>
      <c r="H348" t="s">
        <v>28</v>
      </c>
      <c r="I348" t="s">
        <v>177</v>
      </c>
      <c r="J348" t="s">
        <v>32</v>
      </c>
      <c r="K348">
        <v>4</v>
      </c>
      <c r="L348">
        <v>1936613</v>
      </c>
      <c r="M348">
        <v>15000</v>
      </c>
      <c r="N348" t="s">
        <v>137</v>
      </c>
      <c r="O348" t="s">
        <v>161</v>
      </c>
      <c r="P348" t="s">
        <v>156</v>
      </c>
      <c r="Q348" t="s">
        <v>21</v>
      </c>
    </row>
    <row r="349" spans="1:17" x14ac:dyDescent="0.25">
      <c r="A349" t="s">
        <v>764</v>
      </c>
      <c r="B349" t="s">
        <v>151</v>
      </c>
      <c r="C349" t="s">
        <v>152</v>
      </c>
      <c r="D349" s="8">
        <v>46139</v>
      </c>
      <c r="E349" t="s">
        <v>117</v>
      </c>
      <c r="F349" t="s">
        <v>18</v>
      </c>
      <c r="G349" t="s">
        <v>18</v>
      </c>
      <c r="H349" t="s">
        <v>1315</v>
      </c>
      <c r="I349" t="s">
        <v>147</v>
      </c>
      <c r="J349" t="s">
        <v>20</v>
      </c>
      <c r="K349">
        <v>2</v>
      </c>
      <c r="L349">
        <v>280567</v>
      </c>
      <c r="M349">
        <v>50000</v>
      </c>
      <c r="N349" t="s">
        <v>43</v>
      </c>
      <c r="O349" t="s">
        <v>161</v>
      </c>
      <c r="P349" t="s">
        <v>139</v>
      </c>
      <c r="Q349" t="s">
        <v>38</v>
      </c>
    </row>
    <row r="350" spans="1:17" x14ac:dyDescent="0.25">
      <c r="A350" t="s">
        <v>765</v>
      </c>
      <c r="B350" t="s">
        <v>489</v>
      </c>
      <c r="C350" t="s">
        <v>452</v>
      </c>
      <c r="D350" s="8">
        <v>46115</v>
      </c>
      <c r="E350" t="s">
        <v>117</v>
      </c>
      <c r="F350" t="s">
        <v>31</v>
      </c>
      <c r="G350" t="s">
        <v>31</v>
      </c>
      <c r="H350" t="s">
        <v>1315</v>
      </c>
      <c r="I350" t="s">
        <v>136</v>
      </c>
      <c r="J350" t="s">
        <v>29</v>
      </c>
      <c r="K350">
        <v>2</v>
      </c>
      <c r="L350">
        <v>1924010</v>
      </c>
      <c r="M350">
        <v>35000</v>
      </c>
      <c r="N350" t="s">
        <v>137</v>
      </c>
      <c r="O350" t="s">
        <v>165</v>
      </c>
      <c r="P350" t="s">
        <v>156</v>
      </c>
      <c r="Q350" t="s">
        <v>21</v>
      </c>
    </row>
    <row r="351" spans="1:17" x14ac:dyDescent="0.25">
      <c r="A351" t="s">
        <v>766</v>
      </c>
      <c r="B351" t="s">
        <v>225</v>
      </c>
      <c r="C351" t="s">
        <v>226</v>
      </c>
      <c r="D351" s="8">
        <v>46040</v>
      </c>
      <c r="E351" t="s">
        <v>116</v>
      </c>
      <c r="F351" t="s">
        <v>31</v>
      </c>
      <c r="G351" t="s">
        <v>31</v>
      </c>
      <c r="H351" t="s">
        <v>143</v>
      </c>
      <c r="I351" t="s">
        <v>169</v>
      </c>
      <c r="J351" t="s">
        <v>25</v>
      </c>
      <c r="K351">
        <v>1</v>
      </c>
      <c r="L351">
        <v>1268842</v>
      </c>
      <c r="M351">
        <v>35000</v>
      </c>
      <c r="N351" t="s">
        <v>137</v>
      </c>
      <c r="O351" t="s">
        <v>138</v>
      </c>
      <c r="P351" t="s">
        <v>156</v>
      </c>
      <c r="Q351" t="s">
        <v>21</v>
      </c>
    </row>
    <row r="352" spans="1:17" x14ac:dyDescent="0.25">
      <c r="A352" t="s">
        <v>767</v>
      </c>
      <c r="B352" t="s">
        <v>477</v>
      </c>
      <c r="C352" t="s">
        <v>231</v>
      </c>
      <c r="D352" s="8">
        <v>46036</v>
      </c>
      <c r="E352" t="s">
        <v>116</v>
      </c>
      <c r="F352" t="s">
        <v>31</v>
      </c>
      <c r="G352" t="s">
        <v>31</v>
      </c>
      <c r="H352" t="s">
        <v>28</v>
      </c>
      <c r="I352" t="s">
        <v>39</v>
      </c>
      <c r="J352" t="s">
        <v>35</v>
      </c>
      <c r="K352">
        <v>3</v>
      </c>
      <c r="L352">
        <v>507726</v>
      </c>
      <c r="M352">
        <v>35000</v>
      </c>
      <c r="N352" t="s">
        <v>93</v>
      </c>
      <c r="O352" t="s">
        <v>138</v>
      </c>
      <c r="P352" t="s">
        <v>156</v>
      </c>
      <c r="Q352" t="s">
        <v>21</v>
      </c>
    </row>
    <row r="353" spans="1:17" x14ac:dyDescent="0.25">
      <c r="A353" t="s">
        <v>768</v>
      </c>
      <c r="B353" t="s">
        <v>601</v>
      </c>
      <c r="C353" t="s">
        <v>176</v>
      </c>
      <c r="D353" s="8">
        <v>46134</v>
      </c>
      <c r="E353" t="s">
        <v>117</v>
      </c>
      <c r="F353" t="s">
        <v>18</v>
      </c>
      <c r="G353" t="s">
        <v>18</v>
      </c>
      <c r="H353" t="s">
        <v>160</v>
      </c>
      <c r="I353" t="s">
        <v>169</v>
      </c>
      <c r="J353" t="s">
        <v>35</v>
      </c>
      <c r="K353">
        <v>4</v>
      </c>
      <c r="L353">
        <v>1607687</v>
      </c>
      <c r="M353">
        <v>50000</v>
      </c>
      <c r="N353" t="s">
        <v>148</v>
      </c>
      <c r="O353" t="s">
        <v>149</v>
      </c>
      <c r="P353" t="s">
        <v>156</v>
      </c>
      <c r="Q353" t="s">
        <v>21</v>
      </c>
    </row>
    <row r="354" spans="1:17" x14ac:dyDescent="0.25">
      <c r="A354" t="s">
        <v>769</v>
      </c>
      <c r="B354" t="s">
        <v>770</v>
      </c>
      <c r="C354" t="s">
        <v>246</v>
      </c>
      <c r="D354" s="8">
        <v>46193</v>
      </c>
      <c r="E354" t="s">
        <v>113</v>
      </c>
      <c r="F354" t="s">
        <v>34</v>
      </c>
      <c r="G354" t="s">
        <v>34</v>
      </c>
      <c r="H354" t="s">
        <v>160</v>
      </c>
      <c r="I354" t="s">
        <v>169</v>
      </c>
      <c r="J354" t="s">
        <v>32</v>
      </c>
      <c r="K354">
        <v>2</v>
      </c>
      <c r="L354">
        <v>1447561</v>
      </c>
      <c r="M354">
        <v>0</v>
      </c>
      <c r="N354" t="s">
        <v>148</v>
      </c>
      <c r="O354" t="s">
        <v>165</v>
      </c>
      <c r="P354" t="s">
        <v>139</v>
      </c>
      <c r="Q354" t="s">
        <v>1318</v>
      </c>
    </row>
    <row r="355" spans="1:17" x14ac:dyDescent="0.25">
      <c r="A355" t="s">
        <v>771</v>
      </c>
      <c r="B355" t="s">
        <v>336</v>
      </c>
      <c r="C355" t="s">
        <v>337</v>
      </c>
      <c r="D355" s="8">
        <v>46023</v>
      </c>
      <c r="E355" t="s">
        <v>116</v>
      </c>
      <c r="F355" t="s">
        <v>23</v>
      </c>
      <c r="G355" t="s">
        <v>23</v>
      </c>
      <c r="H355" t="s">
        <v>160</v>
      </c>
      <c r="I355" t="s">
        <v>177</v>
      </c>
      <c r="J355" t="s">
        <v>29</v>
      </c>
      <c r="K355">
        <v>6</v>
      </c>
      <c r="L355">
        <v>2009781</v>
      </c>
      <c r="M355">
        <v>15000</v>
      </c>
      <c r="N355" t="s">
        <v>137</v>
      </c>
      <c r="O355" t="s">
        <v>149</v>
      </c>
      <c r="P355" t="s">
        <v>139</v>
      </c>
      <c r="Q355" t="s">
        <v>21</v>
      </c>
    </row>
    <row r="356" spans="1:17" x14ac:dyDescent="0.25">
      <c r="A356" t="s">
        <v>772</v>
      </c>
      <c r="B356" t="s">
        <v>601</v>
      </c>
      <c r="C356" t="s">
        <v>176</v>
      </c>
      <c r="D356" s="8">
        <v>25569</v>
      </c>
      <c r="E356" t="s">
        <v>116</v>
      </c>
      <c r="F356" t="s">
        <v>18</v>
      </c>
      <c r="G356" t="s">
        <v>18</v>
      </c>
      <c r="H356" t="s">
        <v>160</v>
      </c>
      <c r="I356" t="s">
        <v>136</v>
      </c>
      <c r="J356" t="s">
        <v>25</v>
      </c>
      <c r="K356">
        <v>4</v>
      </c>
      <c r="L356">
        <v>816678</v>
      </c>
      <c r="M356">
        <v>50000</v>
      </c>
      <c r="N356" t="s">
        <v>137</v>
      </c>
      <c r="O356" t="s">
        <v>161</v>
      </c>
      <c r="P356" t="s">
        <v>156</v>
      </c>
      <c r="Q356" t="s">
        <v>121</v>
      </c>
    </row>
    <row r="357" spans="1:17" x14ac:dyDescent="0.25">
      <c r="A357" t="s">
        <v>773</v>
      </c>
      <c r="B357" t="s">
        <v>370</v>
      </c>
      <c r="C357" t="s">
        <v>180</v>
      </c>
      <c r="D357" s="8">
        <v>46101</v>
      </c>
      <c r="E357" t="s">
        <v>115</v>
      </c>
      <c r="F357" t="s">
        <v>31</v>
      </c>
      <c r="G357" t="s">
        <v>31</v>
      </c>
      <c r="H357" t="s">
        <v>28</v>
      </c>
      <c r="I357" t="s">
        <v>136</v>
      </c>
      <c r="J357" t="s">
        <v>25</v>
      </c>
      <c r="K357">
        <v>6</v>
      </c>
      <c r="L357">
        <v>2225897</v>
      </c>
      <c r="M357">
        <v>0</v>
      </c>
      <c r="N357" t="s">
        <v>137</v>
      </c>
      <c r="O357" t="s">
        <v>149</v>
      </c>
      <c r="P357" t="s">
        <v>139</v>
      </c>
      <c r="Q357" t="s">
        <v>1318</v>
      </c>
    </row>
    <row r="358" spans="1:17" x14ac:dyDescent="0.25">
      <c r="A358" t="s">
        <v>774</v>
      </c>
      <c r="B358" t="s">
        <v>336</v>
      </c>
      <c r="C358" t="s">
        <v>337</v>
      </c>
      <c r="D358" s="8">
        <v>46108</v>
      </c>
      <c r="E358" t="s">
        <v>115</v>
      </c>
      <c r="F358" t="s">
        <v>27</v>
      </c>
      <c r="G358" t="s">
        <v>27</v>
      </c>
      <c r="H358" t="s">
        <v>143</v>
      </c>
      <c r="I358" t="s">
        <v>147</v>
      </c>
      <c r="J358" t="s">
        <v>32</v>
      </c>
      <c r="K358">
        <v>4</v>
      </c>
      <c r="L358">
        <v>595550</v>
      </c>
      <c r="M358">
        <v>15000</v>
      </c>
      <c r="N358" t="s">
        <v>137</v>
      </c>
      <c r="P358" t="s">
        <v>139</v>
      </c>
      <c r="Q358" t="s">
        <v>1321</v>
      </c>
    </row>
    <row r="359" spans="1:17" x14ac:dyDescent="0.25">
      <c r="A359" t="s">
        <v>775</v>
      </c>
      <c r="B359" t="s">
        <v>374</v>
      </c>
      <c r="C359" t="s">
        <v>202</v>
      </c>
      <c r="D359" s="8">
        <v>46191</v>
      </c>
      <c r="E359" t="s">
        <v>113</v>
      </c>
      <c r="F359" t="s">
        <v>23</v>
      </c>
      <c r="G359" t="s">
        <v>23</v>
      </c>
      <c r="H359" t="s">
        <v>160</v>
      </c>
      <c r="I359" t="s">
        <v>173</v>
      </c>
      <c r="J359" t="s">
        <v>20</v>
      </c>
      <c r="K359">
        <v>6</v>
      </c>
      <c r="L359">
        <v>1954981</v>
      </c>
      <c r="M359">
        <v>25000</v>
      </c>
      <c r="N359" t="s">
        <v>137</v>
      </c>
      <c r="O359" t="s">
        <v>165</v>
      </c>
      <c r="P359" t="s">
        <v>156</v>
      </c>
      <c r="Q359" t="s">
        <v>21</v>
      </c>
    </row>
    <row r="360" spans="1:17" x14ac:dyDescent="0.25">
      <c r="A360" t="s">
        <v>776</v>
      </c>
      <c r="B360" t="s">
        <v>777</v>
      </c>
      <c r="C360" t="s">
        <v>246</v>
      </c>
      <c r="D360" s="8">
        <v>46128</v>
      </c>
      <c r="E360" t="s">
        <v>117</v>
      </c>
      <c r="F360" t="s">
        <v>23</v>
      </c>
      <c r="G360" t="s">
        <v>23</v>
      </c>
      <c r="H360" t="s">
        <v>28</v>
      </c>
      <c r="I360" t="s">
        <v>147</v>
      </c>
      <c r="J360" t="s">
        <v>35</v>
      </c>
      <c r="K360">
        <v>6</v>
      </c>
      <c r="L360">
        <v>554845</v>
      </c>
      <c r="M360">
        <v>35000</v>
      </c>
      <c r="N360" t="s">
        <v>137</v>
      </c>
      <c r="O360" t="s">
        <v>165</v>
      </c>
      <c r="P360" t="s">
        <v>156</v>
      </c>
      <c r="Q360" t="s">
        <v>21</v>
      </c>
    </row>
    <row r="361" spans="1:17" x14ac:dyDescent="0.25">
      <c r="A361" t="s">
        <v>778</v>
      </c>
      <c r="B361" t="s">
        <v>459</v>
      </c>
      <c r="C361" t="s">
        <v>317</v>
      </c>
      <c r="D361" s="8">
        <v>46097</v>
      </c>
      <c r="E361" t="s">
        <v>115</v>
      </c>
      <c r="F361" t="s">
        <v>23</v>
      </c>
      <c r="G361" t="s">
        <v>23</v>
      </c>
      <c r="H361" t="s">
        <v>143</v>
      </c>
      <c r="I361" t="s">
        <v>39</v>
      </c>
      <c r="J361" t="s">
        <v>20</v>
      </c>
      <c r="K361">
        <v>2</v>
      </c>
      <c r="L361">
        <v>1884295</v>
      </c>
      <c r="M361">
        <v>15000</v>
      </c>
      <c r="N361" t="s">
        <v>137</v>
      </c>
      <c r="O361" t="s">
        <v>138</v>
      </c>
      <c r="P361" t="s">
        <v>139</v>
      </c>
      <c r="Q361" t="s">
        <v>21</v>
      </c>
    </row>
    <row r="362" spans="1:17" x14ac:dyDescent="0.25">
      <c r="A362" t="s">
        <v>779</v>
      </c>
      <c r="B362" t="s">
        <v>519</v>
      </c>
      <c r="C362" t="s">
        <v>240</v>
      </c>
      <c r="D362" s="8">
        <v>46141</v>
      </c>
      <c r="E362" t="s">
        <v>117</v>
      </c>
      <c r="F362" t="s">
        <v>27</v>
      </c>
      <c r="G362" t="s">
        <v>27</v>
      </c>
      <c r="H362" t="s">
        <v>1315</v>
      </c>
      <c r="I362" t="s">
        <v>136</v>
      </c>
      <c r="J362" t="s">
        <v>25</v>
      </c>
      <c r="K362">
        <v>1</v>
      </c>
      <c r="L362">
        <v>1851973</v>
      </c>
      <c r="M362">
        <v>35000</v>
      </c>
      <c r="N362" t="s">
        <v>43</v>
      </c>
      <c r="O362" t="s">
        <v>165</v>
      </c>
      <c r="P362" t="s">
        <v>139</v>
      </c>
      <c r="Q362" t="s">
        <v>21</v>
      </c>
    </row>
    <row r="363" spans="1:17" x14ac:dyDescent="0.25">
      <c r="A363" t="s">
        <v>780</v>
      </c>
      <c r="B363" t="s">
        <v>385</v>
      </c>
      <c r="C363" t="s">
        <v>176</v>
      </c>
      <c r="D363" s="8">
        <v>46129</v>
      </c>
      <c r="E363" t="s">
        <v>117</v>
      </c>
      <c r="F363" t="s">
        <v>34</v>
      </c>
      <c r="G363" t="s">
        <v>34</v>
      </c>
      <c r="H363" t="s">
        <v>1315</v>
      </c>
      <c r="I363" t="s">
        <v>136</v>
      </c>
      <c r="J363" t="s">
        <v>29</v>
      </c>
      <c r="K363">
        <v>4</v>
      </c>
      <c r="L363">
        <v>1133152</v>
      </c>
      <c r="M363">
        <v>0</v>
      </c>
      <c r="N363" t="s">
        <v>137</v>
      </c>
      <c r="O363" t="s">
        <v>161</v>
      </c>
      <c r="P363" t="s">
        <v>139</v>
      </c>
      <c r="Q363" t="s">
        <v>1318</v>
      </c>
    </row>
    <row r="364" spans="1:17" x14ac:dyDescent="0.25">
      <c r="A364" t="s">
        <v>781</v>
      </c>
      <c r="B364" t="s">
        <v>535</v>
      </c>
      <c r="C364" t="s">
        <v>192</v>
      </c>
      <c r="D364" s="8">
        <v>46165</v>
      </c>
      <c r="E364" t="s">
        <v>26</v>
      </c>
      <c r="F364" t="s">
        <v>27</v>
      </c>
      <c r="G364" t="s">
        <v>27</v>
      </c>
      <c r="H364" t="s">
        <v>28</v>
      </c>
      <c r="I364" t="s">
        <v>177</v>
      </c>
      <c r="J364" t="s">
        <v>32</v>
      </c>
      <c r="K364">
        <v>5</v>
      </c>
      <c r="L364">
        <v>1761492</v>
      </c>
      <c r="M364">
        <v>15000</v>
      </c>
      <c r="N364" t="s">
        <v>137</v>
      </c>
      <c r="O364" t="s">
        <v>165</v>
      </c>
      <c r="P364" t="s">
        <v>156</v>
      </c>
      <c r="Q364" t="s">
        <v>21</v>
      </c>
    </row>
    <row r="365" spans="1:17" x14ac:dyDescent="0.25">
      <c r="A365" t="s">
        <v>782</v>
      </c>
      <c r="B365" t="s">
        <v>783</v>
      </c>
      <c r="C365" t="s">
        <v>210</v>
      </c>
      <c r="D365" s="8">
        <v>46104</v>
      </c>
      <c r="E365" t="s">
        <v>115</v>
      </c>
      <c r="F365" t="s">
        <v>18</v>
      </c>
      <c r="G365" t="s">
        <v>18</v>
      </c>
      <c r="H365" t="s">
        <v>160</v>
      </c>
      <c r="I365" t="s">
        <v>169</v>
      </c>
      <c r="J365" t="s">
        <v>35</v>
      </c>
      <c r="K365">
        <v>4</v>
      </c>
      <c r="L365">
        <v>2289617</v>
      </c>
      <c r="M365">
        <v>15000</v>
      </c>
      <c r="N365" t="s">
        <v>137</v>
      </c>
      <c r="O365" t="s">
        <v>138</v>
      </c>
      <c r="P365" t="s">
        <v>139</v>
      </c>
      <c r="Q365" t="s">
        <v>21</v>
      </c>
    </row>
    <row r="366" spans="1:17" x14ac:dyDescent="0.25">
      <c r="A366" t="s">
        <v>784</v>
      </c>
      <c r="B366" t="s">
        <v>455</v>
      </c>
      <c r="C366" t="s">
        <v>456</v>
      </c>
      <c r="D366" s="8">
        <v>46183</v>
      </c>
      <c r="E366" t="s">
        <v>113</v>
      </c>
      <c r="F366" t="s">
        <v>23</v>
      </c>
      <c r="G366" t="s">
        <v>23</v>
      </c>
      <c r="H366" t="s">
        <v>160</v>
      </c>
      <c r="I366" t="s">
        <v>39</v>
      </c>
      <c r="J366" t="s">
        <v>20</v>
      </c>
      <c r="K366">
        <v>2</v>
      </c>
      <c r="L366">
        <v>1211484</v>
      </c>
      <c r="M366">
        <v>50000</v>
      </c>
      <c r="N366" t="s">
        <v>43</v>
      </c>
      <c r="O366" t="s">
        <v>161</v>
      </c>
      <c r="P366" t="s">
        <v>156</v>
      </c>
      <c r="Q366" t="s">
        <v>38</v>
      </c>
    </row>
    <row r="367" spans="1:17" x14ac:dyDescent="0.25">
      <c r="A367" t="s">
        <v>785</v>
      </c>
      <c r="B367" t="s">
        <v>365</v>
      </c>
      <c r="C367" t="s">
        <v>240</v>
      </c>
      <c r="D367" s="8">
        <v>46181</v>
      </c>
      <c r="E367" t="s">
        <v>113</v>
      </c>
      <c r="F367" t="s">
        <v>18</v>
      </c>
      <c r="G367" t="s">
        <v>18</v>
      </c>
      <c r="H367" t="s">
        <v>28</v>
      </c>
      <c r="I367" t="s">
        <v>169</v>
      </c>
      <c r="J367" t="s">
        <v>25</v>
      </c>
      <c r="K367">
        <v>5</v>
      </c>
      <c r="L367">
        <v>2400327</v>
      </c>
      <c r="M367">
        <v>0</v>
      </c>
      <c r="N367" t="s">
        <v>137</v>
      </c>
      <c r="O367" t="s">
        <v>138</v>
      </c>
      <c r="P367" t="s">
        <v>156</v>
      </c>
      <c r="Q367" t="s">
        <v>1318</v>
      </c>
    </row>
    <row r="368" spans="1:17" x14ac:dyDescent="0.25">
      <c r="A368" t="s">
        <v>786</v>
      </c>
      <c r="B368" t="s">
        <v>535</v>
      </c>
      <c r="C368" t="s">
        <v>192</v>
      </c>
      <c r="D368" s="8">
        <v>46190</v>
      </c>
      <c r="E368" t="s">
        <v>113</v>
      </c>
      <c r="F368" t="s">
        <v>31</v>
      </c>
      <c r="G368" t="s">
        <v>31</v>
      </c>
      <c r="H368" t="s">
        <v>1315</v>
      </c>
      <c r="I368" t="s">
        <v>169</v>
      </c>
      <c r="J368" t="s">
        <v>20</v>
      </c>
      <c r="K368">
        <v>2</v>
      </c>
      <c r="L368" t="s">
        <v>787</v>
      </c>
      <c r="M368">
        <v>25000</v>
      </c>
      <c r="N368" t="s">
        <v>137</v>
      </c>
      <c r="O368" t="s">
        <v>199</v>
      </c>
      <c r="P368" t="s">
        <v>139</v>
      </c>
      <c r="Q368" t="s">
        <v>21</v>
      </c>
    </row>
    <row r="369" spans="1:17" x14ac:dyDescent="0.25">
      <c r="A369" t="s">
        <v>788</v>
      </c>
      <c r="B369" t="s">
        <v>443</v>
      </c>
      <c r="C369" t="s">
        <v>246</v>
      </c>
      <c r="D369" s="8">
        <v>46059</v>
      </c>
      <c r="E369" t="s">
        <v>114</v>
      </c>
      <c r="F369" t="s">
        <v>27</v>
      </c>
      <c r="G369" t="s">
        <v>27</v>
      </c>
      <c r="H369" t="s">
        <v>160</v>
      </c>
      <c r="I369" t="s">
        <v>173</v>
      </c>
      <c r="J369" t="s">
        <v>29</v>
      </c>
      <c r="K369">
        <v>7</v>
      </c>
      <c r="L369">
        <v>217059</v>
      </c>
      <c r="M369">
        <v>50000</v>
      </c>
      <c r="N369" t="s">
        <v>137</v>
      </c>
      <c r="O369" t="s">
        <v>138</v>
      </c>
      <c r="P369" t="s">
        <v>139</v>
      </c>
      <c r="Q369" t="s">
        <v>21</v>
      </c>
    </row>
    <row r="370" spans="1:17" x14ac:dyDescent="0.25">
      <c r="A370" t="s">
        <v>789</v>
      </c>
      <c r="B370" t="s">
        <v>233</v>
      </c>
      <c r="C370" t="s">
        <v>36</v>
      </c>
      <c r="D370" s="8">
        <v>46069</v>
      </c>
      <c r="E370" t="s">
        <v>114</v>
      </c>
      <c r="F370" t="s">
        <v>23</v>
      </c>
      <c r="G370" t="s">
        <v>23</v>
      </c>
      <c r="H370" t="s">
        <v>28</v>
      </c>
      <c r="I370" t="s">
        <v>173</v>
      </c>
      <c r="J370" t="s">
        <v>32</v>
      </c>
      <c r="K370">
        <v>4</v>
      </c>
      <c r="L370">
        <v>509135</v>
      </c>
      <c r="M370">
        <v>0</v>
      </c>
      <c r="N370" t="s">
        <v>148</v>
      </c>
      <c r="O370" t="s">
        <v>138</v>
      </c>
      <c r="P370" t="s">
        <v>156</v>
      </c>
      <c r="Q370" t="s">
        <v>1318</v>
      </c>
    </row>
    <row r="371" spans="1:17" x14ac:dyDescent="0.25">
      <c r="A371" t="s">
        <v>790</v>
      </c>
      <c r="B371" t="s">
        <v>791</v>
      </c>
      <c r="C371" t="s">
        <v>284</v>
      </c>
      <c r="D371" s="8">
        <v>46183</v>
      </c>
      <c r="E371" t="s">
        <v>113</v>
      </c>
      <c r="F371" t="s">
        <v>31</v>
      </c>
      <c r="G371" t="s">
        <v>31</v>
      </c>
      <c r="H371" t="s">
        <v>143</v>
      </c>
      <c r="I371" t="s">
        <v>177</v>
      </c>
      <c r="J371" t="s">
        <v>25</v>
      </c>
      <c r="K371">
        <v>6</v>
      </c>
      <c r="L371">
        <v>440078</v>
      </c>
      <c r="M371">
        <v>15000</v>
      </c>
      <c r="N371" t="s">
        <v>137</v>
      </c>
      <c r="O371" t="s">
        <v>165</v>
      </c>
      <c r="P371" t="s">
        <v>156</v>
      </c>
      <c r="Q371" t="s">
        <v>21</v>
      </c>
    </row>
    <row r="372" spans="1:17" x14ac:dyDescent="0.25">
      <c r="A372" t="s">
        <v>792</v>
      </c>
      <c r="B372" t="s">
        <v>793</v>
      </c>
      <c r="C372" t="s">
        <v>345</v>
      </c>
      <c r="D372" s="8">
        <v>46068</v>
      </c>
      <c r="E372" t="s">
        <v>114</v>
      </c>
      <c r="F372" t="s">
        <v>34</v>
      </c>
      <c r="G372" t="s">
        <v>34</v>
      </c>
      <c r="H372" t="s">
        <v>28</v>
      </c>
      <c r="I372" t="s">
        <v>147</v>
      </c>
      <c r="J372" t="s">
        <v>35</v>
      </c>
      <c r="K372">
        <v>7</v>
      </c>
      <c r="L372">
        <v>2499402</v>
      </c>
      <c r="M372">
        <v>50000</v>
      </c>
      <c r="N372" t="s">
        <v>137</v>
      </c>
      <c r="O372" t="s">
        <v>149</v>
      </c>
      <c r="P372" t="s">
        <v>156</v>
      </c>
      <c r="Q372" t="s">
        <v>21</v>
      </c>
    </row>
    <row r="373" spans="1:17" x14ac:dyDescent="0.25">
      <c r="A373" t="s">
        <v>794</v>
      </c>
      <c r="B373" t="s">
        <v>795</v>
      </c>
      <c r="C373" t="s">
        <v>435</v>
      </c>
      <c r="D373" s="8">
        <v>46156</v>
      </c>
      <c r="E373" t="s">
        <v>26</v>
      </c>
      <c r="F373" t="s">
        <v>27</v>
      </c>
      <c r="G373" t="s">
        <v>27</v>
      </c>
      <c r="H373" t="s">
        <v>143</v>
      </c>
      <c r="I373" t="s">
        <v>177</v>
      </c>
      <c r="J373" t="s">
        <v>25</v>
      </c>
      <c r="K373">
        <v>2</v>
      </c>
      <c r="L373">
        <v>1187454</v>
      </c>
      <c r="M373">
        <v>0</v>
      </c>
      <c r="N373" t="s">
        <v>214</v>
      </c>
      <c r="O373" t="s">
        <v>138</v>
      </c>
      <c r="P373" t="s">
        <v>156</v>
      </c>
      <c r="Q373" t="s">
        <v>1318</v>
      </c>
    </row>
    <row r="374" spans="1:17" x14ac:dyDescent="0.25">
      <c r="A374" t="s">
        <v>796</v>
      </c>
      <c r="B374" t="s">
        <v>797</v>
      </c>
      <c r="C374" t="s">
        <v>240</v>
      </c>
      <c r="D374" s="8">
        <v>46078</v>
      </c>
      <c r="E374" t="s">
        <v>114</v>
      </c>
      <c r="F374" t="s">
        <v>118</v>
      </c>
      <c r="G374" t="s">
        <v>18</v>
      </c>
      <c r="H374" t="s">
        <v>1315</v>
      </c>
      <c r="I374" t="s">
        <v>136</v>
      </c>
      <c r="J374" t="s">
        <v>32</v>
      </c>
      <c r="K374">
        <v>2</v>
      </c>
      <c r="L374">
        <v>243721</v>
      </c>
      <c r="M374">
        <v>25000</v>
      </c>
      <c r="N374" t="s">
        <v>137</v>
      </c>
      <c r="O374" t="s">
        <v>138</v>
      </c>
      <c r="P374" t="s">
        <v>156</v>
      </c>
      <c r="Q374" t="s">
        <v>21</v>
      </c>
    </row>
    <row r="375" spans="1:17" x14ac:dyDescent="0.25">
      <c r="A375" t="s">
        <v>798</v>
      </c>
      <c r="B375" t="s">
        <v>693</v>
      </c>
      <c r="C375" t="s">
        <v>164</v>
      </c>
      <c r="D375" s="8">
        <v>46112</v>
      </c>
      <c r="E375" t="s">
        <v>115</v>
      </c>
      <c r="F375" t="s">
        <v>27</v>
      </c>
      <c r="G375" t="s">
        <v>27</v>
      </c>
      <c r="H375" t="s">
        <v>28</v>
      </c>
      <c r="I375" t="s">
        <v>177</v>
      </c>
      <c r="J375" t="s">
        <v>25</v>
      </c>
      <c r="K375">
        <v>4</v>
      </c>
      <c r="L375">
        <v>2433146</v>
      </c>
      <c r="M375">
        <v>25000</v>
      </c>
      <c r="N375" t="s">
        <v>137</v>
      </c>
      <c r="O375" t="s">
        <v>138</v>
      </c>
      <c r="P375" t="s">
        <v>156</v>
      </c>
      <c r="Q375" t="s">
        <v>21</v>
      </c>
    </row>
    <row r="376" spans="1:17" x14ac:dyDescent="0.25">
      <c r="A376" t="s">
        <v>799</v>
      </c>
      <c r="B376" t="s">
        <v>800</v>
      </c>
      <c r="C376" t="s">
        <v>192</v>
      </c>
      <c r="D376" s="8">
        <v>46198</v>
      </c>
      <c r="E376" t="s">
        <v>113</v>
      </c>
      <c r="F376" t="s">
        <v>34</v>
      </c>
      <c r="G376" t="s">
        <v>34</v>
      </c>
      <c r="H376" t="s">
        <v>143</v>
      </c>
      <c r="I376" t="s">
        <v>177</v>
      </c>
      <c r="J376" t="s">
        <v>32</v>
      </c>
      <c r="K376">
        <v>1</v>
      </c>
      <c r="L376">
        <v>1298946</v>
      </c>
      <c r="M376">
        <v>35000</v>
      </c>
      <c r="N376" t="s">
        <v>137</v>
      </c>
      <c r="O376" t="s">
        <v>138</v>
      </c>
      <c r="P376" t="s">
        <v>139</v>
      </c>
      <c r="Q376" t="s">
        <v>21</v>
      </c>
    </row>
    <row r="377" spans="1:17" x14ac:dyDescent="0.25">
      <c r="A377" t="s">
        <v>801</v>
      </c>
      <c r="B377" t="s">
        <v>492</v>
      </c>
      <c r="C377" t="s">
        <v>146</v>
      </c>
      <c r="D377" s="8">
        <v>46137</v>
      </c>
      <c r="E377" t="s">
        <v>117</v>
      </c>
      <c r="F377" t="s">
        <v>23</v>
      </c>
      <c r="G377" t="s">
        <v>23</v>
      </c>
      <c r="H377" t="s">
        <v>28</v>
      </c>
      <c r="I377" t="s">
        <v>39</v>
      </c>
      <c r="J377" t="s">
        <v>29</v>
      </c>
      <c r="K377">
        <v>6</v>
      </c>
      <c r="L377">
        <v>1897283</v>
      </c>
      <c r="M377">
        <v>50000</v>
      </c>
      <c r="N377" t="s">
        <v>137</v>
      </c>
      <c r="O377" t="s">
        <v>161</v>
      </c>
      <c r="P377" t="s">
        <v>139</v>
      </c>
      <c r="Q377" t="s">
        <v>21</v>
      </c>
    </row>
    <row r="378" spans="1:17" x14ac:dyDescent="0.25">
      <c r="A378" t="s">
        <v>802</v>
      </c>
      <c r="B378" t="s">
        <v>237</v>
      </c>
      <c r="C378" t="s">
        <v>205</v>
      </c>
      <c r="D378" s="8">
        <v>46184</v>
      </c>
      <c r="E378" t="s">
        <v>113</v>
      </c>
      <c r="F378" t="s">
        <v>31</v>
      </c>
      <c r="G378" t="s">
        <v>31</v>
      </c>
      <c r="H378" t="s">
        <v>1315</v>
      </c>
      <c r="I378" t="s">
        <v>147</v>
      </c>
      <c r="J378" t="s">
        <v>35</v>
      </c>
      <c r="K378">
        <v>2</v>
      </c>
      <c r="L378">
        <v>389552</v>
      </c>
      <c r="M378">
        <v>35000</v>
      </c>
      <c r="N378" t="s">
        <v>148</v>
      </c>
      <c r="O378" t="s">
        <v>138</v>
      </c>
      <c r="P378" t="s">
        <v>139</v>
      </c>
      <c r="Q378" t="s">
        <v>21</v>
      </c>
    </row>
    <row r="379" spans="1:17" x14ac:dyDescent="0.25">
      <c r="A379" t="s">
        <v>803</v>
      </c>
      <c r="B379" t="s">
        <v>413</v>
      </c>
      <c r="C379" t="s">
        <v>210</v>
      </c>
      <c r="D379" s="8">
        <v>46030</v>
      </c>
      <c r="E379" t="s">
        <v>116</v>
      </c>
      <c r="F379" t="s">
        <v>34</v>
      </c>
      <c r="G379" t="s">
        <v>34</v>
      </c>
      <c r="H379" t="s">
        <v>143</v>
      </c>
      <c r="I379" t="s">
        <v>173</v>
      </c>
      <c r="J379" t="s">
        <v>29</v>
      </c>
      <c r="K379">
        <v>7</v>
      </c>
      <c r="L379">
        <v>600876</v>
      </c>
      <c r="M379">
        <v>15000</v>
      </c>
      <c r="N379" t="s">
        <v>137</v>
      </c>
      <c r="O379" t="s">
        <v>165</v>
      </c>
      <c r="P379" t="s">
        <v>139</v>
      </c>
      <c r="Q379" t="s">
        <v>21</v>
      </c>
    </row>
    <row r="380" spans="1:17" x14ac:dyDescent="0.25">
      <c r="A380" t="s">
        <v>804</v>
      </c>
      <c r="B380" t="s">
        <v>237</v>
      </c>
      <c r="C380" t="s">
        <v>205</v>
      </c>
      <c r="D380" s="8">
        <v>46060</v>
      </c>
      <c r="E380" t="s">
        <v>114</v>
      </c>
      <c r="F380" t="s">
        <v>34</v>
      </c>
      <c r="G380" t="s">
        <v>34</v>
      </c>
      <c r="H380" t="s">
        <v>143</v>
      </c>
      <c r="I380" t="s">
        <v>39</v>
      </c>
      <c r="J380" t="s">
        <v>35</v>
      </c>
      <c r="K380">
        <v>1</v>
      </c>
      <c r="L380">
        <v>1438911</v>
      </c>
      <c r="M380">
        <v>0</v>
      </c>
      <c r="N380" t="s">
        <v>137</v>
      </c>
      <c r="O380" t="s">
        <v>161</v>
      </c>
      <c r="P380" t="s">
        <v>139</v>
      </c>
      <c r="Q380" t="s">
        <v>1318</v>
      </c>
    </row>
    <row r="381" spans="1:17" x14ac:dyDescent="0.25">
      <c r="A381" t="s">
        <v>805</v>
      </c>
      <c r="B381" t="s">
        <v>797</v>
      </c>
      <c r="C381" t="s">
        <v>240</v>
      </c>
      <c r="D381" s="8">
        <v>46082</v>
      </c>
      <c r="E381" t="s">
        <v>115</v>
      </c>
      <c r="F381" t="s">
        <v>18</v>
      </c>
      <c r="G381" t="s">
        <v>18</v>
      </c>
      <c r="H381" t="s">
        <v>160</v>
      </c>
      <c r="I381" t="s">
        <v>147</v>
      </c>
      <c r="J381" t="s">
        <v>25</v>
      </c>
      <c r="K381">
        <v>4</v>
      </c>
      <c r="L381">
        <v>2475691</v>
      </c>
      <c r="M381">
        <v>0</v>
      </c>
      <c r="N381" t="s">
        <v>137</v>
      </c>
      <c r="O381" t="s">
        <v>161</v>
      </c>
      <c r="P381" t="s">
        <v>156</v>
      </c>
      <c r="Q381" t="s">
        <v>1318</v>
      </c>
    </row>
    <row r="382" spans="1:17" x14ac:dyDescent="0.25">
      <c r="A382" t="s">
        <v>806</v>
      </c>
      <c r="B382" t="s">
        <v>705</v>
      </c>
      <c r="C382" t="s">
        <v>502</v>
      </c>
      <c r="D382" s="8">
        <v>46188</v>
      </c>
      <c r="E382" t="s">
        <v>113</v>
      </c>
      <c r="F382" t="s">
        <v>31</v>
      </c>
      <c r="G382" t="s">
        <v>31</v>
      </c>
      <c r="H382" t="s">
        <v>28</v>
      </c>
      <c r="I382" t="s">
        <v>173</v>
      </c>
      <c r="J382" t="s">
        <v>25</v>
      </c>
      <c r="K382">
        <v>3</v>
      </c>
      <c r="L382">
        <v>1888948</v>
      </c>
      <c r="M382">
        <v>35000</v>
      </c>
      <c r="N382" t="s">
        <v>148</v>
      </c>
      <c r="O382" t="s">
        <v>161</v>
      </c>
      <c r="P382" t="s">
        <v>139</v>
      </c>
      <c r="Q382" t="s">
        <v>21</v>
      </c>
    </row>
    <row r="383" spans="1:17" x14ac:dyDescent="0.25">
      <c r="A383" t="s">
        <v>807</v>
      </c>
      <c r="B383" t="s">
        <v>235</v>
      </c>
      <c r="C383" t="s">
        <v>142</v>
      </c>
      <c r="D383" s="8">
        <v>46054</v>
      </c>
      <c r="E383" t="s">
        <v>114</v>
      </c>
      <c r="F383" t="s">
        <v>27</v>
      </c>
      <c r="G383" t="s">
        <v>27</v>
      </c>
      <c r="H383" t="s">
        <v>160</v>
      </c>
      <c r="I383" t="s">
        <v>136</v>
      </c>
      <c r="J383" t="s">
        <v>20</v>
      </c>
      <c r="K383">
        <v>5</v>
      </c>
      <c r="L383">
        <v>2019118</v>
      </c>
      <c r="M383">
        <v>15000</v>
      </c>
      <c r="N383" t="s">
        <v>137</v>
      </c>
      <c r="O383" t="s">
        <v>138</v>
      </c>
      <c r="P383" t="s">
        <v>156</v>
      </c>
      <c r="Q383" t="s">
        <v>21</v>
      </c>
    </row>
    <row r="384" spans="1:17" x14ac:dyDescent="0.25">
      <c r="A384" t="s">
        <v>808</v>
      </c>
      <c r="B384" t="s">
        <v>670</v>
      </c>
      <c r="C384" t="s">
        <v>284</v>
      </c>
      <c r="D384" s="8">
        <v>46141</v>
      </c>
      <c r="E384" t="s">
        <v>117</v>
      </c>
      <c r="F384" t="s">
        <v>27</v>
      </c>
      <c r="G384" t="s">
        <v>27</v>
      </c>
      <c r="H384" t="s">
        <v>160</v>
      </c>
      <c r="I384" t="s">
        <v>136</v>
      </c>
      <c r="J384" t="s">
        <v>20</v>
      </c>
      <c r="K384">
        <v>7</v>
      </c>
      <c r="L384">
        <v>1312716</v>
      </c>
      <c r="M384">
        <v>15000</v>
      </c>
      <c r="N384" t="s">
        <v>37</v>
      </c>
      <c r="O384" t="s">
        <v>165</v>
      </c>
      <c r="P384" t="s">
        <v>156</v>
      </c>
      <c r="Q384" t="s">
        <v>21</v>
      </c>
    </row>
    <row r="385" spans="1:17" x14ac:dyDescent="0.25">
      <c r="A385" t="s">
        <v>809</v>
      </c>
      <c r="B385" t="s">
        <v>257</v>
      </c>
      <c r="C385" t="s">
        <v>258</v>
      </c>
      <c r="D385" s="8">
        <v>46047</v>
      </c>
      <c r="E385" t="s">
        <v>116</v>
      </c>
      <c r="F385" t="s">
        <v>23</v>
      </c>
      <c r="G385" t="s">
        <v>23</v>
      </c>
      <c r="H385" t="s">
        <v>1315</v>
      </c>
      <c r="I385" t="s">
        <v>39</v>
      </c>
      <c r="J385" t="s">
        <v>35</v>
      </c>
      <c r="K385">
        <v>3</v>
      </c>
      <c r="L385">
        <v>1860966</v>
      </c>
      <c r="M385">
        <v>25000</v>
      </c>
      <c r="N385" t="s">
        <v>137</v>
      </c>
      <c r="O385" t="s">
        <v>161</v>
      </c>
      <c r="P385" t="s">
        <v>156</v>
      </c>
      <c r="Q385" t="s">
        <v>21</v>
      </c>
    </row>
    <row r="386" spans="1:17" x14ac:dyDescent="0.25">
      <c r="A386" t="s">
        <v>810</v>
      </c>
      <c r="B386" t="s">
        <v>811</v>
      </c>
      <c r="C386" t="s">
        <v>17</v>
      </c>
      <c r="D386" s="8">
        <v>46099</v>
      </c>
      <c r="E386" t="s">
        <v>115</v>
      </c>
      <c r="F386" t="s">
        <v>34</v>
      </c>
      <c r="G386" t="s">
        <v>34</v>
      </c>
      <c r="H386" t="s">
        <v>160</v>
      </c>
      <c r="I386" t="s">
        <v>173</v>
      </c>
      <c r="J386" t="s">
        <v>29</v>
      </c>
      <c r="K386">
        <v>7</v>
      </c>
      <c r="L386">
        <v>2026654</v>
      </c>
      <c r="M386">
        <v>35000</v>
      </c>
      <c r="N386" t="s">
        <v>137</v>
      </c>
      <c r="O386" t="s">
        <v>165</v>
      </c>
      <c r="P386" t="s">
        <v>156</v>
      </c>
      <c r="Q386" t="s">
        <v>21</v>
      </c>
    </row>
    <row r="387" spans="1:17" x14ac:dyDescent="0.25">
      <c r="A387" t="s">
        <v>812</v>
      </c>
      <c r="B387" t="s">
        <v>813</v>
      </c>
      <c r="C387" t="s">
        <v>226</v>
      </c>
      <c r="D387" s="8">
        <v>46025</v>
      </c>
      <c r="E387" t="s">
        <v>116</v>
      </c>
      <c r="F387" t="s">
        <v>23</v>
      </c>
      <c r="G387" t="s">
        <v>23</v>
      </c>
      <c r="H387" t="s">
        <v>143</v>
      </c>
      <c r="I387" t="s">
        <v>169</v>
      </c>
      <c r="J387" t="s">
        <v>25</v>
      </c>
      <c r="K387">
        <v>3</v>
      </c>
      <c r="L387">
        <v>701894</v>
      </c>
      <c r="M387">
        <v>0</v>
      </c>
      <c r="N387" t="s">
        <v>148</v>
      </c>
      <c r="O387" t="s">
        <v>138</v>
      </c>
      <c r="P387" t="s">
        <v>156</v>
      </c>
      <c r="Q387" t="s">
        <v>1318</v>
      </c>
    </row>
    <row r="388" spans="1:17" x14ac:dyDescent="0.25">
      <c r="A388" t="s">
        <v>814</v>
      </c>
      <c r="B388" t="s">
        <v>339</v>
      </c>
      <c r="C388" t="s">
        <v>340</v>
      </c>
      <c r="D388" s="8">
        <v>46199</v>
      </c>
      <c r="E388" t="s">
        <v>113</v>
      </c>
      <c r="F388" t="s">
        <v>34</v>
      </c>
      <c r="G388" t="s">
        <v>34</v>
      </c>
      <c r="H388" t="s">
        <v>160</v>
      </c>
      <c r="I388" t="s">
        <v>136</v>
      </c>
      <c r="J388" t="s">
        <v>25</v>
      </c>
      <c r="K388">
        <v>7</v>
      </c>
      <c r="L388">
        <v>340163</v>
      </c>
      <c r="M388">
        <v>25000</v>
      </c>
      <c r="N388" t="s">
        <v>137</v>
      </c>
      <c r="O388" t="s">
        <v>161</v>
      </c>
      <c r="P388" t="s">
        <v>139</v>
      </c>
      <c r="Q388" t="s">
        <v>21</v>
      </c>
    </row>
    <row r="389" spans="1:17" x14ac:dyDescent="0.25">
      <c r="A389" t="s">
        <v>815</v>
      </c>
      <c r="B389" t="s">
        <v>239</v>
      </c>
      <c r="C389" t="s">
        <v>240</v>
      </c>
      <c r="D389" s="8">
        <v>46201</v>
      </c>
      <c r="E389" t="s">
        <v>113</v>
      </c>
      <c r="F389" t="s">
        <v>18</v>
      </c>
      <c r="G389" t="s">
        <v>18</v>
      </c>
      <c r="H389" t="s">
        <v>28</v>
      </c>
      <c r="I389" t="s">
        <v>169</v>
      </c>
      <c r="J389" t="s">
        <v>32</v>
      </c>
      <c r="K389">
        <v>5</v>
      </c>
      <c r="L389">
        <v>834451</v>
      </c>
      <c r="M389">
        <v>15000</v>
      </c>
      <c r="N389" t="s">
        <v>137</v>
      </c>
      <c r="O389" t="s">
        <v>161</v>
      </c>
      <c r="P389" t="s">
        <v>156</v>
      </c>
      <c r="Q389" t="s">
        <v>21</v>
      </c>
    </row>
    <row r="390" spans="1:17" x14ac:dyDescent="0.25">
      <c r="A390" t="s">
        <v>816</v>
      </c>
      <c r="B390" t="s">
        <v>336</v>
      </c>
      <c r="C390" t="s">
        <v>337</v>
      </c>
      <c r="D390" s="8">
        <v>46158</v>
      </c>
      <c r="E390" t="s">
        <v>26</v>
      </c>
      <c r="F390" t="s">
        <v>34</v>
      </c>
      <c r="G390" t="s">
        <v>34</v>
      </c>
      <c r="H390" t="s">
        <v>28</v>
      </c>
      <c r="I390" t="s">
        <v>177</v>
      </c>
      <c r="J390" t="s">
        <v>20</v>
      </c>
      <c r="K390">
        <v>4</v>
      </c>
      <c r="L390">
        <v>1128828</v>
      </c>
      <c r="M390">
        <v>50000</v>
      </c>
      <c r="N390" t="s">
        <v>137</v>
      </c>
      <c r="O390" t="s">
        <v>149</v>
      </c>
      <c r="P390" t="s">
        <v>139</v>
      </c>
      <c r="Q390" t="s">
        <v>21</v>
      </c>
    </row>
    <row r="391" spans="1:17" x14ac:dyDescent="0.25">
      <c r="A391" t="s">
        <v>817</v>
      </c>
      <c r="B391" t="s">
        <v>818</v>
      </c>
      <c r="C391" t="s">
        <v>17</v>
      </c>
      <c r="D391" s="8">
        <v>46098</v>
      </c>
      <c r="E391" t="s">
        <v>115</v>
      </c>
      <c r="F391" t="s">
        <v>18</v>
      </c>
      <c r="G391" t="s">
        <v>18</v>
      </c>
      <c r="H391" t="s">
        <v>160</v>
      </c>
      <c r="I391" t="s">
        <v>173</v>
      </c>
      <c r="J391" t="s">
        <v>32</v>
      </c>
      <c r="K391">
        <v>5</v>
      </c>
      <c r="L391">
        <v>467264</v>
      </c>
      <c r="M391">
        <v>25000</v>
      </c>
      <c r="N391" t="s">
        <v>148</v>
      </c>
      <c r="O391" t="s">
        <v>165</v>
      </c>
      <c r="P391" t="s">
        <v>156</v>
      </c>
      <c r="Q391" t="s">
        <v>21</v>
      </c>
    </row>
    <row r="392" spans="1:17" x14ac:dyDescent="0.25">
      <c r="A392" t="s">
        <v>819</v>
      </c>
      <c r="B392" t="s">
        <v>820</v>
      </c>
      <c r="C392" t="s">
        <v>446</v>
      </c>
      <c r="D392" s="8">
        <v>46026</v>
      </c>
      <c r="E392" t="s">
        <v>116</v>
      </c>
      <c r="F392" t="s">
        <v>34</v>
      </c>
      <c r="G392" t="s">
        <v>34</v>
      </c>
      <c r="H392" t="s">
        <v>143</v>
      </c>
      <c r="I392" t="s">
        <v>147</v>
      </c>
      <c r="J392" t="s">
        <v>35</v>
      </c>
      <c r="K392">
        <v>7</v>
      </c>
      <c r="L392">
        <v>1026537</v>
      </c>
      <c r="M392">
        <v>35000</v>
      </c>
      <c r="N392" t="s">
        <v>137</v>
      </c>
      <c r="O392" t="s">
        <v>138</v>
      </c>
      <c r="P392" t="s">
        <v>139</v>
      </c>
      <c r="Q392" t="s">
        <v>21</v>
      </c>
    </row>
    <row r="393" spans="1:17" x14ac:dyDescent="0.25">
      <c r="A393" t="s">
        <v>821</v>
      </c>
      <c r="B393" t="s">
        <v>289</v>
      </c>
      <c r="C393" t="s">
        <v>146</v>
      </c>
      <c r="D393" s="8">
        <v>46102</v>
      </c>
      <c r="E393" t="s">
        <v>115</v>
      </c>
      <c r="F393" t="s">
        <v>18</v>
      </c>
      <c r="G393" t="s">
        <v>18</v>
      </c>
      <c r="H393" t="s">
        <v>1315</v>
      </c>
      <c r="I393" t="s">
        <v>39</v>
      </c>
      <c r="J393" t="s">
        <v>32</v>
      </c>
      <c r="K393">
        <v>7</v>
      </c>
      <c r="L393">
        <v>2024306</v>
      </c>
      <c r="M393">
        <v>15000</v>
      </c>
      <c r="N393" t="s">
        <v>137</v>
      </c>
      <c r="O393" t="s">
        <v>165</v>
      </c>
      <c r="P393" t="s">
        <v>156</v>
      </c>
      <c r="Q393" t="s">
        <v>21</v>
      </c>
    </row>
    <row r="394" spans="1:17" x14ac:dyDescent="0.25">
      <c r="A394" t="s">
        <v>822</v>
      </c>
      <c r="B394" t="s">
        <v>823</v>
      </c>
      <c r="C394" t="s">
        <v>404</v>
      </c>
      <c r="D394" s="8">
        <v>46125</v>
      </c>
      <c r="E394" t="s">
        <v>117</v>
      </c>
      <c r="F394" t="s">
        <v>27</v>
      </c>
      <c r="G394" t="s">
        <v>27</v>
      </c>
      <c r="H394" t="s">
        <v>160</v>
      </c>
      <c r="I394" t="s">
        <v>177</v>
      </c>
      <c r="J394" t="s">
        <v>32</v>
      </c>
      <c r="L394">
        <v>908334</v>
      </c>
      <c r="M394">
        <v>0</v>
      </c>
      <c r="N394" t="s">
        <v>137</v>
      </c>
      <c r="O394" t="s">
        <v>138</v>
      </c>
      <c r="P394" t="s">
        <v>156</v>
      </c>
      <c r="Q394" t="s">
        <v>1319</v>
      </c>
    </row>
    <row r="395" spans="1:17" x14ac:dyDescent="0.25">
      <c r="A395" t="s">
        <v>824</v>
      </c>
      <c r="B395" t="s">
        <v>253</v>
      </c>
      <c r="C395" t="s">
        <v>176</v>
      </c>
      <c r="D395" s="8">
        <v>46051</v>
      </c>
      <c r="E395" t="s">
        <v>116</v>
      </c>
      <c r="F395" t="s">
        <v>27</v>
      </c>
      <c r="G395" t="s">
        <v>27</v>
      </c>
      <c r="H395" t="s">
        <v>28</v>
      </c>
      <c r="I395" t="s">
        <v>136</v>
      </c>
      <c r="J395" t="s">
        <v>25</v>
      </c>
      <c r="K395">
        <v>4</v>
      </c>
      <c r="L395">
        <v>1128992</v>
      </c>
      <c r="M395">
        <v>0</v>
      </c>
      <c r="N395" t="s">
        <v>137</v>
      </c>
      <c r="O395" t="s">
        <v>161</v>
      </c>
      <c r="P395" t="s">
        <v>156</v>
      </c>
      <c r="Q395" t="s">
        <v>1318</v>
      </c>
    </row>
    <row r="396" spans="1:17" x14ac:dyDescent="0.25">
      <c r="A396" t="s">
        <v>825</v>
      </c>
      <c r="B396" t="s">
        <v>134</v>
      </c>
      <c r="C396" t="s">
        <v>135</v>
      </c>
      <c r="D396" s="8">
        <v>46163</v>
      </c>
      <c r="E396" t="s">
        <v>26</v>
      </c>
      <c r="F396" t="s">
        <v>31</v>
      </c>
      <c r="G396" t="s">
        <v>31</v>
      </c>
      <c r="H396" t="s">
        <v>1315</v>
      </c>
      <c r="I396" t="s">
        <v>173</v>
      </c>
      <c r="J396" t="s">
        <v>32</v>
      </c>
      <c r="K396">
        <v>4</v>
      </c>
      <c r="L396">
        <v>472601</v>
      </c>
      <c r="M396">
        <v>25000</v>
      </c>
      <c r="N396" t="s">
        <v>137</v>
      </c>
      <c r="O396" t="s">
        <v>138</v>
      </c>
      <c r="P396" t="s">
        <v>139</v>
      </c>
      <c r="Q396" t="s">
        <v>45</v>
      </c>
    </row>
    <row r="397" spans="1:17" x14ac:dyDescent="0.25">
      <c r="A397" t="s">
        <v>826</v>
      </c>
      <c r="B397" t="s">
        <v>569</v>
      </c>
      <c r="C397" t="s">
        <v>526</v>
      </c>
      <c r="D397" s="8">
        <v>46048</v>
      </c>
      <c r="E397" t="s">
        <v>116</v>
      </c>
      <c r="F397" t="s">
        <v>18</v>
      </c>
      <c r="G397" t="s">
        <v>18</v>
      </c>
      <c r="H397" t="s">
        <v>28</v>
      </c>
      <c r="I397" t="s">
        <v>177</v>
      </c>
      <c r="J397" t="s">
        <v>35</v>
      </c>
      <c r="K397">
        <v>6</v>
      </c>
      <c r="L397">
        <v>326084</v>
      </c>
      <c r="M397">
        <v>35000</v>
      </c>
      <c r="N397" t="s">
        <v>43</v>
      </c>
      <c r="O397" t="s">
        <v>161</v>
      </c>
      <c r="P397" t="s">
        <v>139</v>
      </c>
      <c r="Q397" t="s">
        <v>38</v>
      </c>
    </row>
    <row r="398" spans="1:17" x14ac:dyDescent="0.25">
      <c r="A398" t="s">
        <v>827</v>
      </c>
      <c r="B398" t="s">
        <v>640</v>
      </c>
      <c r="C398" t="s">
        <v>198</v>
      </c>
      <c r="D398" s="8">
        <v>46178</v>
      </c>
      <c r="E398" t="s">
        <v>113</v>
      </c>
      <c r="F398" t="s">
        <v>18</v>
      </c>
      <c r="G398" t="s">
        <v>18</v>
      </c>
      <c r="H398" t="s">
        <v>160</v>
      </c>
      <c r="I398" t="s">
        <v>177</v>
      </c>
      <c r="J398" t="s">
        <v>20</v>
      </c>
      <c r="K398">
        <v>4</v>
      </c>
      <c r="L398">
        <v>2190376</v>
      </c>
      <c r="M398">
        <v>50000</v>
      </c>
      <c r="N398" t="s">
        <v>137</v>
      </c>
      <c r="O398" t="s">
        <v>161</v>
      </c>
      <c r="P398" t="s">
        <v>156</v>
      </c>
      <c r="Q398" t="s">
        <v>21</v>
      </c>
    </row>
    <row r="399" spans="1:17" x14ac:dyDescent="0.25">
      <c r="A399" t="s">
        <v>828</v>
      </c>
      <c r="B399" t="s">
        <v>194</v>
      </c>
      <c r="C399" t="s">
        <v>195</v>
      </c>
      <c r="D399" s="8">
        <v>46032</v>
      </c>
      <c r="E399" t="s">
        <v>116</v>
      </c>
      <c r="F399" t="s">
        <v>27</v>
      </c>
      <c r="G399" t="s">
        <v>27</v>
      </c>
      <c r="H399" t="s">
        <v>28</v>
      </c>
      <c r="I399" t="s">
        <v>39</v>
      </c>
      <c r="J399" t="s">
        <v>32</v>
      </c>
      <c r="K399">
        <v>1</v>
      </c>
      <c r="L399">
        <v>1236432</v>
      </c>
      <c r="M399">
        <v>15000</v>
      </c>
      <c r="N399" t="s">
        <v>137</v>
      </c>
      <c r="O399" t="s">
        <v>161</v>
      </c>
      <c r="P399" t="s">
        <v>156</v>
      </c>
      <c r="Q399" t="s">
        <v>21</v>
      </c>
    </row>
    <row r="400" spans="1:17" x14ac:dyDescent="0.25">
      <c r="A400" t="s">
        <v>829</v>
      </c>
      <c r="B400" t="s">
        <v>580</v>
      </c>
      <c r="C400" t="s">
        <v>33</v>
      </c>
      <c r="D400" s="8">
        <v>46200</v>
      </c>
      <c r="E400" t="s">
        <v>113</v>
      </c>
      <c r="F400" t="s">
        <v>34</v>
      </c>
      <c r="G400" t="s">
        <v>34</v>
      </c>
      <c r="H400" t="s">
        <v>1315</v>
      </c>
      <c r="I400" t="s">
        <v>169</v>
      </c>
      <c r="J400" t="s">
        <v>20</v>
      </c>
      <c r="K400">
        <v>2</v>
      </c>
      <c r="L400">
        <v>1245193</v>
      </c>
      <c r="M400">
        <v>35000</v>
      </c>
      <c r="N400" t="s">
        <v>137</v>
      </c>
      <c r="O400" t="s">
        <v>161</v>
      </c>
      <c r="P400" t="s">
        <v>156</v>
      </c>
      <c r="Q400" t="s">
        <v>21</v>
      </c>
    </row>
    <row r="401" spans="1:17" x14ac:dyDescent="0.25">
      <c r="A401" t="s">
        <v>830</v>
      </c>
      <c r="B401" t="s">
        <v>260</v>
      </c>
      <c r="C401" t="s">
        <v>261</v>
      </c>
      <c r="D401" s="8">
        <v>46151</v>
      </c>
      <c r="E401" t="s">
        <v>26</v>
      </c>
      <c r="F401" t="s">
        <v>34</v>
      </c>
      <c r="G401" t="s">
        <v>34</v>
      </c>
      <c r="H401" t="s">
        <v>160</v>
      </c>
      <c r="I401" t="s">
        <v>177</v>
      </c>
      <c r="J401" t="s">
        <v>29</v>
      </c>
      <c r="K401">
        <v>7</v>
      </c>
      <c r="M401">
        <v>25000</v>
      </c>
      <c r="N401" t="s">
        <v>43</v>
      </c>
      <c r="O401" t="s">
        <v>161</v>
      </c>
      <c r="P401" t="s">
        <v>139</v>
      </c>
      <c r="Q401" t="s">
        <v>1317</v>
      </c>
    </row>
    <row r="402" spans="1:17" x14ac:dyDescent="0.25">
      <c r="A402" t="s">
        <v>831</v>
      </c>
      <c r="B402" t="s">
        <v>797</v>
      </c>
      <c r="C402" t="s">
        <v>240</v>
      </c>
      <c r="D402" s="8">
        <v>46139</v>
      </c>
      <c r="E402" t="s">
        <v>117</v>
      </c>
      <c r="F402" t="s">
        <v>18</v>
      </c>
      <c r="G402" t="s">
        <v>18</v>
      </c>
      <c r="H402" t="s">
        <v>1315</v>
      </c>
      <c r="I402" t="s">
        <v>173</v>
      </c>
      <c r="J402" t="s">
        <v>29</v>
      </c>
      <c r="K402">
        <v>6</v>
      </c>
      <c r="L402">
        <v>714893</v>
      </c>
      <c r="M402">
        <v>0</v>
      </c>
      <c r="N402" t="s">
        <v>137</v>
      </c>
      <c r="O402" t="s">
        <v>161</v>
      </c>
      <c r="P402" t="s">
        <v>156</v>
      </c>
      <c r="Q402" t="s">
        <v>1318</v>
      </c>
    </row>
    <row r="403" spans="1:17" x14ac:dyDescent="0.25">
      <c r="A403" t="s">
        <v>832</v>
      </c>
      <c r="B403" t="s">
        <v>689</v>
      </c>
      <c r="C403" t="s">
        <v>441</v>
      </c>
      <c r="D403" s="8">
        <v>46113</v>
      </c>
      <c r="E403" t="s">
        <v>117</v>
      </c>
      <c r="F403" t="s">
        <v>23</v>
      </c>
      <c r="G403" t="s">
        <v>23</v>
      </c>
      <c r="H403" t="s">
        <v>160</v>
      </c>
      <c r="I403" t="s">
        <v>173</v>
      </c>
      <c r="J403" t="s">
        <v>35</v>
      </c>
      <c r="K403">
        <v>1</v>
      </c>
      <c r="L403">
        <v>2107387</v>
      </c>
      <c r="M403">
        <v>50000</v>
      </c>
      <c r="N403" t="s">
        <v>137</v>
      </c>
      <c r="O403" t="s">
        <v>161</v>
      </c>
      <c r="P403" t="s">
        <v>139</v>
      </c>
      <c r="Q403" t="s">
        <v>21</v>
      </c>
    </row>
    <row r="404" spans="1:17" x14ac:dyDescent="0.25">
      <c r="A404" t="s">
        <v>833</v>
      </c>
      <c r="B404" t="s">
        <v>269</v>
      </c>
      <c r="C404" t="s">
        <v>180</v>
      </c>
      <c r="D404" s="8">
        <v>46081</v>
      </c>
      <c r="E404" t="s">
        <v>114</v>
      </c>
      <c r="F404" t="s">
        <v>23</v>
      </c>
      <c r="G404" t="s">
        <v>23</v>
      </c>
      <c r="H404" t="s">
        <v>1315</v>
      </c>
      <c r="I404" t="s">
        <v>169</v>
      </c>
      <c r="J404" t="s">
        <v>25</v>
      </c>
      <c r="K404">
        <v>2</v>
      </c>
      <c r="L404">
        <v>2323138</v>
      </c>
      <c r="M404">
        <v>50000</v>
      </c>
      <c r="N404" t="s">
        <v>137</v>
      </c>
      <c r="O404" t="s">
        <v>165</v>
      </c>
      <c r="P404" t="s">
        <v>139</v>
      </c>
      <c r="Q404" t="s">
        <v>21</v>
      </c>
    </row>
    <row r="405" spans="1:17" x14ac:dyDescent="0.25">
      <c r="A405" t="s">
        <v>834</v>
      </c>
      <c r="B405" t="s">
        <v>835</v>
      </c>
      <c r="C405" t="s">
        <v>297</v>
      </c>
      <c r="D405" s="8">
        <v>46112</v>
      </c>
      <c r="E405" t="s">
        <v>115</v>
      </c>
      <c r="F405" t="s">
        <v>23</v>
      </c>
      <c r="G405" t="s">
        <v>23</v>
      </c>
      <c r="H405" t="s">
        <v>1315</v>
      </c>
      <c r="I405" t="s">
        <v>136</v>
      </c>
      <c r="J405" t="s">
        <v>25</v>
      </c>
      <c r="K405">
        <v>6</v>
      </c>
      <c r="L405">
        <v>2408894</v>
      </c>
      <c r="M405">
        <v>25000</v>
      </c>
      <c r="N405" t="s">
        <v>137</v>
      </c>
      <c r="O405" t="s">
        <v>138</v>
      </c>
      <c r="P405" t="s">
        <v>139</v>
      </c>
      <c r="Q405" t="s">
        <v>21</v>
      </c>
    </row>
    <row r="406" spans="1:17" x14ac:dyDescent="0.25">
      <c r="A406" t="s">
        <v>836</v>
      </c>
      <c r="B406" t="s">
        <v>560</v>
      </c>
      <c r="C406" t="s">
        <v>164</v>
      </c>
      <c r="D406" s="8">
        <v>46092</v>
      </c>
      <c r="E406" t="s">
        <v>115</v>
      </c>
      <c r="F406" t="s">
        <v>18</v>
      </c>
      <c r="G406" t="s">
        <v>18</v>
      </c>
      <c r="H406" t="s">
        <v>1315</v>
      </c>
      <c r="I406" t="s">
        <v>39</v>
      </c>
      <c r="J406" t="s">
        <v>20</v>
      </c>
      <c r="K406">
        <v>2</v>
      </c>
      <c r="L406">
        <v>2298139</v>
      </c>
      <c r="M406">
        <v>0</v>
      </c>
      <c r="N406" t="s">
        <v>37</v>
      </c>
      <c r="O406" t="s">
        <v>165</v>
      </c>
      <c r="P406" t="s">
        <v>156</v>
      </c>
      <c r="Q406" t="s">
        <v>1318</v>
      </c>
    </row>
    <row r="407" spans="1:17" x14ac:dyDescent="0.25">
      <c r="A407" t="s">
        <v>837</v>
      </c>
      <c r="B407" t="s">
        <v>319</v>
      </c>
      <c r="C407" t="s">
        <v>320</v>
      </c>
      <c r="D407" s="8">
        <v>46201</v>
      </c>
      <c r="E407" t="s">
        <v>113</v>
      </c>
      <c r="F407" t="s">
        <v>31</v>
      </c>
      <c r="G407" t="s">
        <v>31</v>
      </c>
      <c r="H407" t="s">
        <v>160</v>
      </c>
      <c r="I407" t="s">
        <v>136</v>
      </c>
      <c r="J407" t="s">
        <v>35</v>
      </c>
      <c r="K407">
        <v>2</v>
      </c>
      <c r="L407">
        <v>1926572</v>
      </c>
      <c r="M407">
        <v>25000</v>
      </c>
      <c r="N407" t="s">
        <v>137</v>
      </c>
      <c r="O407" t="s">
        <v>161</v>
      </c>
      <c r="P407" t="s">
        <v>139</v>
      </c>
      <c r="Q407" t="s">
        <v>21</v>
      </c>
    </row>
    <row r="408" spans="1:17" x14ac:dyDescent="0.25">
      <c r="A408" t="s">
        <v>838</v>
      </c>
      <c r="B408" t="s">
        <v>839</v>
      </c>
      <c r="C408" t="s">
        <v>526</v>
      </c>
      <c r="D408" s="8">
        <v>46157</v>
      </c>
      <c r="E408" t="s">
        <v>26</v>
      </c>
      <c r="F408" t="s">
        <v>27</v>
      </c>
      <c r="G408" t="s">
        <v>27</v>
      </c>
      <c r="H408" t="s">
        <v>28</v>
      </c>
      <c r="I408" t="s">
        <v>136</v>
      </c>
      <c r="J408" t="s">
        <v>25</v>
      </c>
      <c r="K408">
        <v>6</v>
      </c>
      <c r="L408">
        <v>853802</v>
      </c>
      <c r="M408">
        <v>25000</v>
      </c>
      <c r="N408" t="s">
        <v>137</v>
      </c>
      <c r="O408" t="s">
        <v>503</v>
      </c>
      <c r="P408" t="s">
        <v>156</v>
      </c>
      <c r="Q408" t="s">
        <v>21</v>
      </c>
    </row>
    <row r="409" spans="1:17" x14ac:dyDescent="0.25">
      <c r="A409" t="s">
        <v>840</v>
      </c>
      <c r="B409" t="s">
        <v>398</v>
      </c>
      <c r="C409" t="s">
        <v>399</v>
      </c>
      <c r="D409" s="8">
        <v>46171</v>
      </c>
      <c r="E409" t="s">
        <v>26</v>
      </c>
      <c r="F409" t="s">
        <v>31</v>
      </c>
      <c r="G409" t="s">
        <v>31</v>
      </c>
      <c r="H409" t="s">
        <v>1315</v>
      </c>
      <c r="I409" t="s">
        <v>136</v>
      </c>
      <c r="J409" t="s">
        <v>20</v>
      </c>
      <c r="K409">
        <v>7</v>
      </c>
      <c r="L409" t="s">
        <v>841</v>
      </c>
      <c r="M409">
        <v>25000</v>
      </c>
      <c r="N409" t="s">
        <v>137</v>
      </c>
      <c r="O409" t="s">
        <v>138</v>
      </c>
      <c r="P409" t="s">
        <v>156</v>
      </c>
      <c r="Q409" t="s">
        <v>21</v>
      </c>
    </row>
    <row r="410" spans="1:17" x14ac:dyDescent="0.25">
      <c r="A410" t="s">
        <v>842</v>
      </c>
      <c r="B410" t="s">
        <v>308</v>
      </c>
      <c r="C410" t="s">
        <v>22</v>
      </c>
      <c r="D410" s="8">
        <v>46198</v>
      </c>
      <c r="E410" t="s">
        <v>113</v>
      </c>
      <c r="F410" t="s">
        <v>27</v>
      </c>
      <c r="G410" t="s">
        <v>27</v>
      </c>
      <c r="H410" t="s">
        <v>143</v>
      </c>
      <c r="I410" t="s">
        <v>136</v>
      </c>
      <c r="J410" t="s">
        <v>32</v>
      </c>
      <c r="K410">
        <v>6</v>
      </c>
      <c r="L410">
        <v>737112</v>
      </c>
      <c r="M410">
        <v>35000</v>
      </c>
      <c r="N410" t="s">
        <v>137</v>
      </c>
      <c r="O410" t="s">
        <v>149</v>
      </c>
      <c r="P410" t="s">
        <v>139</v>
      </c>
      <c r="Q410" t="s">
        <v>21</v>
      </c>
    </row>
    <row r="411" spans="1:17" x14ac:dyDescent="0.25">
      <c r="A411" t="s">
        <v>843</v>
      </c>
      <c r="B411" t="s">
        <v>844</v>
      </c>
      <c r="C411" t="s">
        <v>246</v>
      </c>
      <c r="D411" s="8">
        <v>46098</v>
      </c>
      <c r="E411" t="s">
        <v>115</v>
      </c>
      <c r="F411" t="s">
        <v>119</v>
      </c>
      <c r="G411" t="s">
        <v>23</v>
      </c>
      <c r="H411" t="s">
        <v>160</v>
      </c>
      <c r="I411" t="s">
        <v>39</v>
      </c>
      <c r="J411" t="s">
        <v>25</v>
      </c>
      <c r="K411">
        <v>1</v>
      </c>
      <c r="L411">
        <v>185399</v>
      </c>
      <c r="M411">
        <v>35000</v>
      </c>
      <c r="N411" t="s">
        <v>137</v>
      </c>
      <c r="O411" t="s">
        <v>845</v>
      </c>
      <c r="P411" t="s">
        <v>156</v>
      </c>
      <c r="Q411" t="s">
        <v>21</v>
      </c>
    </row>
    <row r="412" spans="1:17" x14ac:dyDescent="0.25">
      <c r="A412" t="s">
        <v>846</v>
      </c>
      <c r="B412" t="s">
        <v>509</v>
      </c>
      <c r="C412" t="s">
        <v>297</v>
      </c>
      <c r="D412" s="8">
        <v>46113</v>
      </c>
      <c r="E412" t="s">
        <v>117</v>
      </c>
      <c r="F412" t="s">
        <v>27</v>
      </c>
      <c r="G412" t="s">
        <v>27</v>
      </c>
      <c r="H412" t="s">
        <v>143</v>
      </c>
      <c r="I412" t="s">
        <v>173</v>
      </c>
      <c r="J412" t="s">
        <v>25</v>
      </c>
      <c r="K412">
        <v>3</v>
      </c>
      <c r="L412">
        <v>122691</v>
      </c>
      <c r="M412">
        <v>0</v>
      </c>
      <c r="N412" t="s">
        <v>137</v>
      </c>
      <c r="O412" t="s">
        <v>165</v>
      </c>
      <c r="P412" t="s">
        <v>156</v>
      </c>
      <c r="Q412" t="s">
        <v>1318</v>
      </c>
    </row>
    <row r="413" spans="1:17" x14ac:dyDescent="0.25">
      <c r="A413" t="s">
        <v>847</v>
      </c>
      <c r="B413" t="s">
        <v>848</v>
      </c>
      <c r="C413" t="s">
        <v>334</v>
      </c>
      <c r="D413" s="8">
        <v>46073</v>
      </c>
      <c r="E413" t="s">
        <v>114</v>
      </c>
      <c r="F413" t="s">
        <v>34</v>
      </c>
      <c r="G413" t="s">
        <v>34</v>
      </c>
      <c r="H413" t="s">
        <v>143</v>
      </c>
      <c r="I413" t="s">
        <v>169</v>
      </c>
      <c r="J413" t="s">
        <v>32</v>
      </c>
      <c r="K413">
        <v>1</v>
      </c>
      <c r="L413">
        <v>1932152</v>
      </c>
      <c r="M413">
        <v>50000</v>
      </c>
      <c r="N413" t="s">
        <v>262</v>
      </c>
      <c r="O413" t="s">
        <v>161</v>
      </c>
      <c r="P413" t="s">
        <v>139</v>
      </c>
      <c r="Q413" t="s">
        <v>21</v>
      </c>
    </row>
    <row r="414" spans="1:17" x14ac:dyDescent="0.25">
      <c r="A414" t="s">
        <v>849</v>
      </c>
      <c r="B414" t="s">
        <v>620</v>
      </c>
      <c r="C414" t="s">
        <v>277</v>
      </c>
      <c r="D414" s="8">
        <v>46048</v>
      </c>
      <c r="E414" t="s">
        <v>116</v>
      </c>
      <c r="F414" t="s">
        <v>34</v>
      </c>
      <c r="G414" t="s">
        <v>34</v>
      </c>
      <c r="H414" t="s">
        <v>143</v>
      </c>
      <c r="I414" t="s">
        <v>169</v>
      </c>
      <c r="J414" t="s">
        <v>29</v>
      </c>
      <c r="K414">
        <v>5</v>
      </c>
      <c r="L414">
        <v>1215807</v>
      </c>
      <c r="M414">
        <v>25000</v>
      </c>
      <c r="N414" t="s">
        <v>137</v>
      </c>
      <c r="O414" t="s">
        <v>138</v>
      </c>
      <c r="P414" t="s">
        <v>139</v>
      </c>
      <c r="Q414" t="s">
        <v>21</v>
      </c>
    </row>
    <row r="415" spans="1:17" x14ac:dyDescent="0.25">
      <c r="A415" t="s">
        <v>850</v>
      </c>
      <c r="B415" t="s">
        <v>330</v>
      </c>
      <c r="C415" t="s">
        <v>331</v>
      </c>
      <c r="D415" s="8">
        <v>25569</v>
      </c>
      <c r="E415" t="s">
        <v>116</v>
      </c>
      <c r="F415" t="s">
        <v>31</v>
      </c>
      <c r="G415" t="s">
        <v>31</v>
      </c>
      <c r="H415" t="s">
        <v>143</v>
      </c>
      <c r="I415" t="s">
        <v>39</v>
      </c>
      <c r="J415" t="s">
        <v>32</v>
      </c>
      <c r="K415">
        <v>3</v>
      </c>
      <c r="L415">
        <v>2444834</v>
      </c>
      <c r="M415">
        <v>15000</v>
      </c>
      <c r="N415" t="s">
        <v>137</v>
      </c>
      <c r="O415" t="s">
        <v>161</v>
      </c>
      <c r="P415" t="s">
        <v>156</v>
      </c>
      <c r="Q415" t="s">
        <v>121</v>
      </c>
    </row>
    <row r="416" spans="1:17" x14ac:dyDescent="0.25">
      <c r="A416" t="s">
        <v>851</v>
      </c>
      <c r="B416" t="s">
        <v>440</v>
      </c>
      <c r="C416" t="s">
        <v>441</v>
      </c>
      <c r="D416" s="8">
        <v>46157</v>
      </c>
      <c r="E416" t="s">
        <v>26</v>
      </c>
      <c r="F416" t="s">
        <v>31</v>
      </c>
      <c r="G416" t="s">
        <v>31</v>
      </c>
      <c r="H416" t="s">
        <v>1315</v>
      </c>
      <c r="I416" t="s">
        <v>39</v>
      </c>
      <c r="J416" t="s">
        <v>32</v>
      </c>
      <c r="K416">
        <v>5</v>
      </c>
      <c r="L416">
        <v>1973468</v>
      </c>
      <c r="M416">
        <v>25000</v>
      </c>
      <c r="N416" t="s">
        <v>852</v>
      </c>
      <c r="O416" t="s">
        <v>138</v>
      </c>
      <c r="P416" t="s">
        <v>139</v>
      </c>
      <c r="Q416" t="s">
        <v>38</v>
      </c>
    </row>
    <row r="417" spans="1:17" x14ac:dyDescent="0.25">
      <c r="A417" t="s">
        <v>853</v>
      </c>
      <c r="B417" t="s">
        <v>191</v>
      </c>
      <c r="C417" t="s">
        <v>192</v>
      </c>
      <c r="D417" s="8">
        <v>25569</v>
      </c>
      <c r="E417" t="s">
        <v>116</v>
      </c>
      <c r="F417" t="s">
        <v>27</v>
      </c>
      <c r="G417" t="s">
        <v>27</v>
      </c>
      <c r="H417" t="s">
        <v>1315</v>
      </c>
      <c r="I417" t="s">
        <v>177</v>
      </c>
      <c r="J417" t="s">
        <v>35</v>
      </c>
      <c r="K417">
        <v>1</v>
      </c>
      <c r="L417">
        <v>236068</v>
      </c>
      <c r="M417">
        <v>50000</v>
      </c>
      <c r="N417" t="s">
        <v>37</v>
      </c>
      <c r="O417" t="s">
        <v>149</v>
      </c>
      <c r="P417" t="s">
        <v>139</v>
      </c>
      <c r="Q417" t="s">
        <v>121</v>
      </c>
    </row>
    <row r="418" spans="1:17" x14ac:dyDescent="0.25">
      <c r="A418" t="s">
        <v>854</v>
      </c>
      <c r="B418" t="s">
        <v>141</v>
      </c>
      <c r="C418" t="s">
        <v>142</v>
      </c>
      <c r="D418" s="8">
        <v>46181</v>
      </c>
      <c r="E418" t="s">
        <v>113</v>
      </c>
      <c r="F418" t="s">
        <v>18</v>
      </c>
      <c r="G418" t="s">
        <v>18</v>
      </c>
      <c r="H418" t="s">
        <v>28</v>
      </c>
      <c r="I418" t="s">
        <v>169</v>
      </c>
      <c r="J418" t="s">
        <v>20</v>
      </c>
      <c r="K418">
        <v>3</v>
      </c>
      <c r="L418">
        <v>2398637</v>
      </c>
      <c r="M418">
        <v>50000</v>
      </c>
      <c r="N418" t="s">
        <v>137</v>
      </c>
      <c r="O418" t="s">
        <v>165</v>
      </c>
      <c r="P418" t="s">
        <v>139</v>
      </c>
      <c r="Q418" t="s">
        <v>21</v>
      </c>
    </row>
    <row r="419" spans="1:17" x14ac:dyDescent="0.25">
      <c r="A419" t="s">
        <v>855</v>
      </c>
      <c r="B419" t="s">
        <v>629</v>
      </c>
      <c r="C419" t="s">
        <v>441</v>
      </c>
      <c r="D419" s="8">
        <v>46155</v>
      </c>
      <c r="E419" t="s">
        <v>26</v>
      </c>
      <c r="F419" t="s">
        <v>23</v>
      </c>
      <c r="G419" t="s">
        <v>23</v>
      </c>
      <c r="H419" t="s">
        <v>1315</v>
      </c>
      <c r="I419" t="s">
        <v>147</v>
      </c>
      <c r="J419" t="s">
        <v>20</v>
      </c>
      <c r="K419">
        <v>1</v>
      </c>
      <c r="L419">
        <v>2050305</v>
      </c>
      <c r="M419">
        <v>0</v>
      </c>
      <c r="N419" t="s">
        <v>137</v>
      </c>
      <c r="O419" t="s">
        <v>165</v>
      </c>
      <c r="P419" t="s">
        <v>139</v>
      </c>
      <c r="Q419" t="s">
        <v>1318</v>
      </c>
    </row>
    <row r="420" spans="1:17" x14ac:dyDescent="0.25">
      <c r="A420" t="s">
        <v>856</v>
      </c>
      <c r="B420" t="s">
        <v>857</v>
      </c>
      <c r="C420" t="s">
        <v>301</v>
      </c>
      <c r="D420" s="8">
        <v>46146</v>
      </c>
      <c r="E420" t="s">
        <v>26</v>
      </c>
      <c r="F420" t="s">
        <v>23</v>
      </c>
      <c r="G420" t="s">
        <v>23</v>
      </c>
      <c r="H420" t="s">
        <v>143</v>
      </c>
      <c r="I420" t="s">
        <v>147</v>
      </c>
      <c r="J420" t="s">
        <v>29</v>
      </c>
      <c r="K420">
        <v>1</v>
      </c>
      <c r="L420">
        <v>1509604</v>
      </c>
      <c r="M420">
        <v>0</v>
      </c>
      <c r="N420" t="s">
        <v>137</v>
      </c>
      <c r="O420" t="s">
        <v>138</v>
      </c>
      <c r="P420" t="s">
        <v>139</v>
      </c>
      <c r="Q420" t="s">
        <v>1318</v>
      </c>
    </row>
    <row r="421" spans="1:17" x14ac:dyDescent="0.25">
      <c r="A421" t="s">
        <v>858</v>
      </c>
      <c r="B421" t="s">
        <v>330</v>
      </c>
      <c r="C421" t="s">
        <v>331</v>
      </c>
      <c r="D421" s="8">
        <v>46080</v>
      </c>
      <c r="E421" t="s">
        <v>114</v>
      </c>
      <c r="F421" t="s">
        <v>23</v>
      </c>
      <c r="G421" t="s">
        <v>23</v>
      </c>
      <c r="H421" t="s">
        <v>28</v>
      </c>
      <c r="I421" t="s">
        <v>147</v>
      </c>
      <c r="J421" t="s">
        <v>29</v>
      </c>
      <c r="K421">
        <v>6</v>
      </c>
      <c r="L421">
        <v>769175</v>
      </c>
      <c r="M421">
        <v>25000</v>
      </c>
      <c r="N421" t="s">
        <v>137</v>
      </c>
      <c r="O421" t="s">
        <v>149</v>
      </c>
      <c r="P421" t="s">
        <v>156</v>
      </c>
      <c r="Q421" t="s">
        <v>21</v>
      </c>
    </row>
    <row r="422" spans="1:17" x14ac:dyDescent="0.25">
      <c r="A422" t="s">
        <v>859</v>
      </c>
      <c r="B422" t="s">
        <v>313</v>
      </c>
      <c r="C422" t="s">
        <v>314</v>
      </c>
      <c r="D422" s="8">
        <v>46023</v>
      </c>
      <c r="E422" t="s">
        <v>116</v>
      </c>
      <c r="F422" t="s">
        <v>23</v>
      </c>
      <c r="G422" t="s">
        <v>23</v>
      </c>
      <c r="H422" t="s">
        <v>28</v>
      </c>
      <c r="I422" t="s">
        <v>173</v>
      </c>
      <c r="J422" t="s">
        <v>35</v>
      </c>
      <c r="K422">
        <v>1</v>
      </c>
      <c r="L422">
        <v>761821</v>
      </c>
      <c r="M422">
        <v>50000</v>
      </c>
      <c r="N422" t="s">
        <v>137</v>
      </c>
      <c r="O422" t="s">
        <v>161</v>
      </c>
      <c r="P422" t="s">
        <v>139</v>
      </c>
      <c r="Q422" t="s">
        <v>21</v>
      </c>
    </row>
    <row r="423" spans="1:17" x14ac:dyDescent="0.25">
      <c r="A423" t="s">
        <v>860</v>
      </c>
      <c r="B423" t="s">
        <v>811</v>
      </c>
      <c r="C423" t="s">
        <v>17</v>
      </c>
      <c r="D423" s="8">
        <v>46037</v>
      </c>
      <c r="E423" t="s">
        <v>116</v>
      </c>
      <c r="F423" t="s">
        <v>18</v>
      </c>
      <c r="G423" t="s">
        <v>18</v>
      </c>
      <c r="H423" t="s">
        <v>1315</v>
      </c>
      <c r="I423" t="s">
        <v>147</v>
      </c>
      <c r="J423" t="s">
        <v>32</v>
      </c>
      <c r="K423">
        <v>4</v>
      </c>
      <c r="L423">
        <v>630914</v>
      </c>
      <c r="M423">
        <v>25000</v>
      </c>
      <c r="N423" t="s">
        <v>137</v>
      </c>
      <c r="O423" t="s">
        <v>161</v>
      </c>
      <c r="P423" t="s">
        <v>156</v>
      </c>
      <c r="Q423" t="s">
        <v>21</v>
      </c>
    </row>
    <row r="424" spans="1:17" x14ac:dyDescent="0.25">
      <c r="A424" t="s">
        <v>861</v>
      </c>
      <c r="B424" t="s">
        <v>509</v>
      </c>
      <c r="C424" t="s">
        <v>297</v>
      </c>
      <c r="D424" s="8">
        <v>46060</v>
      </c>
      <c r="E424" t="s">
        <v>114</v>
      </c>
      <c r="F424" t="s">
        <v>27</v>
      </c>
      <c r="G424" t="s">
        <v>27</v>
      </c>
      <c r="H424" t="s">
        <v>143</v>
      </c>
      <c r="I424" t="s">
        <v>39</v>
      </c>
      <c r="J424" t="s">
        <v>32</v>
      </c>
      <c r="K424">
        <v>2</v>
      </c>
      <c r="L424">
        <v>210839</v>
      </c>
      <c r="M424">
        <v>15000</v>
      </c>
      <c r="N424" t="s">
        <v>148</v>
      </c>
      <c r="O424" t="s">
        <v>138</v>
      </c>
      <c r="P424" t="s">
        <v>139</v>
      </c>
      <c r="Q424" t="s">
        <v>21</v>
      </c>
    </row>
    <row r="425" spans="1:17" x14ac:dyDescent="0.25">
      <c r="A425" t="s">
        <v>862</v>
      </c>
      <c r="B425" t="s">
        <v>401</v>
      </c>
      <c r="C425" t="s">
        <v>189</v>
      </c>
      <c r="D425" s="8">
        <v>46193</v>
      </c>
      <c r="E425" t="s">
        <v>113</v>
      </c>
      <c r="F425" t="s">
        <v>31</v>
      </c>
      <c r="G425" t="s">
        <v>31</v>
      </c>
      <c r="H425" t="s">
        <v>160</v>
      </c>
      <c r="I425" t="s">
        <v>39</v>
      </c>
      <c r="J425" t="s">
        <v>32</v>
      </c>
      <c r="K425">
        <v>4</v>
      </c>
      <c r="L425">
        <v>539512</v>
      </c>
      <c r="M425">
        <v>50000</v>
      </c>
      <c r="N425" t="s">
        <v>137</v>
      </c>
      <c r="O425" t="s">
        <v>161</v>
      </c>
      <c r="P425" t="s">
        <v>139</v>
      </c>
      <c r="Q425" t="s">
        <v>21</v>
      </c>
    </row>
    <row r="426" spans="1:17" x14ac:dyDescent="0.25">
      <c r="A426" t="s">
        <v>863</v>
      </c>
      <c r="B426" t="s">
        <v>219</v>
      </c>
      <c r="C426" t="s">
        <v>220</v>
      </c>
      <c r="D426" s="8">
        <v>46030</v>
      </c>
      <c r="E426" t="s">
        <v>116</v>
      </c>
      <c r="F426" t="s">
        <v>34</v>
      </c>
      <c r="G426" t="s">
        <v>34</v>
      </c>
      <c r="H426" t="s">
        <v>160</v>
      </c>
      <c r="I426" t="s">
        <v>169</v>
      </c>
      <c r="J426" t="s">
        <v>35</v>
      </c>
      <c r="K426">
        <v>1</v>
      </c>
      <c r="L426">
        <v>1308758</v>
      </c>
      <c r="M426">
        <v>35000</v>
      </c>
      <c r="N426" t="s">
        <v>137</v>
      </c>
      <c r="O426" t="s">
        <v>161</v>
      </c>
      <c r="P426" t="s">
        <v>139</v>
      </c>
      <c r="Q426" t="s">
        <v>21</v>
      </c>
    </row>
    <row r="427" spans="1:17" x14ac:dyDescent="0.25">
      <c r="A427" t="s">
        <v>864</v>
      </c>
      <c r="B427" t="s">
        <v>398</v>
      </c>
      <c r="C427" t="s">
        <v>399</v>
      </c>
      <c r="D427" s="8">
        <v>46113</v>
      </c>
      <c r="E427" t="s">
        <v>117</v>
      </c>
      <c r="F427" t="s">
        <v>18</v>
      </c>
      <c r="G427" t="s">
        <v>18</v>
      </c>
      <c r="H427" t="s">
        <v>1315</v>
      </c>
      <c r="I427" t="s">
        <v>147</v>
      </c>
      <c r="J427" t="s">
        <v>35</v>
      </c>
      <c r="K427">
        <v>6</v>
      </c>
      <c r="L427">
        <v>704281</v>
      </c>
      <c r="M427">
        <v>35000</v>
      </c>
      <c r="N427" t="s">
        <v>137</v>
      </c>
      <c r="O427" t="s">
        <v>161</v>
      </c>
      <c r="P427" t="s">
        <v>156</v>
      </c>
      <c r="Q427" t="s">
        <v>21</v>
      </c>
    </row>
    <row r="428" spans="1:17" x14ac:dyDescent="0.25">
      <c r="A428" t="s">
        <v>865</v>
      </c>
      <c r="B428" t="s">
        <v>866</v>
      </c>
      <c r="C428" t="s">
        <v>176</v>
      </c>
      <c r="D428" s="8">
        <v>46203</v>
      </c>
      <c r="E428" t="s">
        <v>113</v>
      </c>
      <c r="F428" t="s">
        <v>34</v>
      </c>
      <c r="G428" t="s">
        <v>34</v>
      </c>
      <c r="H428" t="s">
        <v>1315</v>
      </c>
      <c r="I428" t="s">
        <v>39</v>
      </c>
      <c r="J428" t="s">
        <v>29</v>
      </c>
      <c r="K428">
        <v>5</v>
      </c>
      <c r="L428">
        <v>2322243</v>
      </c>
      <c r="M428">
        <v>35000</v>
      </c>
      <c r="N428" t="s">
        <v>137</v>
      </c>
      <c r="O428" t="s">
        <v>138</v>
      </c>
      <c r="P428" t="s">
        <v>139</v>
      </c>
      <c r="Q428" t="s">
        <v>21</v>
      </c>
    </row>
    <row r="429" spans="1:17" x14ac:dyDescent="0.25">
      <c r="A429" t="s">
        <v>867</v>
      </c>
      <c r="B429" t="s">
        <v>431</v>
      </c>
      <c r="C429" t="s">
        <v>340</v>
      </c>
      <c r="D429" s="8">
        <v>46191</v>
      </c>
      <c r="E429" t="s">
        <v>113</v>
      </c>
      <c r="F429" t="s">
        <v>31</v>
      </c>
      <c r="G429" t="s">
        <v>31</v>
      </c>
      <c r="H429" t="s">
        <v>28</v>
      </c>
      <c r="I429" t="s">
        <v>147</v>
      </c>
      <c r="J429" t="s">
        <v>29</v>
      </c>
      <c r="K429">
        <v>1</v>
      </c>
      <c r="L429">
        <v>1390580</v>
      </c>
      <c r="M429">
        <v>35000</v>
      </c>
      <c r="N429" t="s">
        <v>43</v>
      </c>
      <c r="O429" t="s">
        <v>138</v>
      </c>
      <c r="P429" t="s">
        <v>139</v>
      </c>
      <c r="Q429" t="s">
        <v>38</v>
      </c>
    </row>
    <row r="430" spans="1:17" x14ac:dyDescent="0.25">
      <c r="A430" t="s">
        <v>868</v>
      </c>
      <c r="B430" t="s">
        <v>869</v>
      </c>
      <c r="C430" t="s">
        <v>446</v>
      </c>
      <c r="D430" s="8">
        <v>46201</v>
      </c>
      <c r="E430" t="s">
        <v>113</v>
      </c>
      <c r="F430" t="s">
        <v>31</v>
      </c>
      <c r="G430" t="s">
        <v>31</v>
      </c>
      <c r="H430" t="s">
        <v>160</v>
      </c>
      <c r="I430" t="s">
        <v>173</v>
      </c>
      <c r="J430" t="s">
        <v>20</v>
      </c>
      <c r="K430">
        <v>5</v>
      </c>
      <c r="L430">
        <v>1479275</v>
      </c>
      <c r="M430">
        <v>50000</v>
      </c>
      <c r="N430" t="s">
        <v>137</v>
      </c>
      <c r="O430" t="s">
        <v>138</v>
      </c>
      <c r="P430" t="s">
        <v>156</v>
      </c>
      <c r="Q430" t="s">
        <v>21</v>
      </c>
    </row>
    <row r="431" spans="1:17" x14ac:dyDescent="0.25">
      <c r="A431" t="s">
        <v>870</v>
      </c>
      <c r="B431" t="s">
        <v>558</v>
      </c>
      <c r="C431" t="s">
        <v>526</v>
      </c>
      <c r="D431" s="8">
        <v>46047</v>
      </c>
      <c r="E431" t="s">
        <v>116</v>
      </c>
      <c r="F431" t="s">
        <v>18</v>
      </c>
      <c r="G431" t="s">
        <v>18</v>
      </c>
      <c r="H431" t="s">
        <v>160</v>
      </c>
      <c r="I431" t="s">
        <v>177</v>
      </c>
      <c r="J431" t="s">
        <v>32</v>
      </c>
      <c r="K431">
        <v>6</v>
      </c>
      <c r="L431">
        <v>565520</v>
      </c>
      <c r="M431">
        <v>35000</v>
      </c>
      <c r="N431" t="s">
        <v>137</v>
      </c>
      <c r="O431" t="s">
        <v>138</v>
      </c>
      <c r="P431" t="s">
        <v>139</v>
      </c>
      <c r="Q431" t="s">
        <v>21</v>
      </c>
    </row>
    <row r="432" spans="1:17" x14ac:dyDescent="0.25">
      <c r="A432" t="s">
        <v>871</v>
      </c>
      <c r="B432" t="s">
        <v>872</v>
      </c>
      <c r="C432" t="s">
        <v>284</v>
      </c>
      <c r="D432" s="8">
        <v>46039</v>
      </c>
      <c r="E432" t="s">
        <v>116</v>
      </c>
      <c r="F432" t="s">
        <v>23</v>
      </c>
      <c r="G432" t="s">
        <v>23</v>
      </c>
      <c r="H432" t="s">
        <v>28</v>
      </c>
      <c r="I432" t="s">
        <v>136</v>
      </c>
      <c r="J432" t="s">
        <v>35</v>
      </c>
      <c r="K432">
        <v>3</v>
      </c>
      <c r="L432">
        <v>379739</v>
      </c>
      <c r="M432">
        <v>50000</v>
      </c>
      <c r="N432" t="s">
        <v>137</v>
      </c>
      <c r="O432" t="s">
        <v>165</v>
      </c>
      <c r="P432" t="s">
        <v>156</v>
      </c>
      <c r="Q432" t="s">
        <v>21</v>
      </c>
    </row>
    <row r="433" spans="1:17" x14ac:dyDescent="0.25">
      <c r="A433" t="s">
        <v>873</v>
      </c>
      <c r="B433" t="s">
        <v>872</v>
      </c>
      <c r="C433" t="s">
        <v>284</v>
      </c>
      <c r="D433" s="8">
        <v>46067</v>
      </c>
      <c r="E433" t="s">
        <v>114</v>
      </c>
      <c r="F433" t="s">
        <v>27</v>
      </c>
      <c r="G433" t="s">
        <v>27</v>
      </c>
      <c r="H433" t="s">
        <v>143</v>
      </c>
      <c r="I433" t="s">
        <v>177</v>
      </c>
      <c r="J433" t="s">
        <v>25</v>
      </c>
      <c r="K433">
        <v>6</v>
      </c>
      <c r="L433">
        <v>1467039</v>
      </c>
      <c r="M433">
        <v>0</v>
      </c>
      <c r="N433" t="s">
        <v>137</v>
      </c>
      <c r="O433" t="s">
        <v>161</v>
      </c>
      <c r="P433" t="s">
        <v>139</v>
      </c>
      <c r="Q433" t="s">
        <v>1318</v>
      </c>
    </row>
    <row r="434" spans="1:17" x14ac:dyDescent="0.25">
      <c r="A434" t="s">
        <v>874</v>
      </c>
      <c r="B434" t="s">
        <v>683</v>
      </c>
      <c r="C434" t="s">
        <v>684</v>
      </c>
      <c r="D434" s="8">
        <v>46196</v>
      </c>
      <c r="E434" t="s">
        <v>113</v>
      </c>
      <c r="F434" t="s">
        <v>27</v>
      </c>
      <c r="G434" t="s">
        <v>27</v>
      </c>
      <c r="H434" t="s">
        <v>143</v>
      </c>
      <c r="I434" t="s">
        <v>173</v>
      </c>
      <c r="J434" t="s">
        <v>35</v>
      </c>
      <c r="K434">
        <v>2</v>
      </c>
      <c r="L434">
        <v>1319945</v>
      </c>
      <c r="M434">
        <v>15000</v>
      </c>
      <c r="N434" t="s">
        <v>137</v>
      </c>
      <c r="O434" t="s">
        <v>138</v>
      </c>
      <c r="P434" t="s">
        <v>156</v>
      </c>
      <c r="Q434" t="s">
        <v>21</v>
      </c>
    </row>
    <row r="435" spans="1:17" x14ac:dyDescent="0.25">
      <c r="A435" t="s">
        <v>875</v>
      </c>
      <c r="B435" t="s">
        <v>434</v>
      </c>
      <c r="C435" t="s">
        <v>435</v>
      </c>
      <c r="D435" s="8">
        <v>46194</v>
      </c>
      <c r="E435" t="s">
        <v>113</v>
      </c>
      <c r="F435" t="s">
        <v>31</v>
      </c>
      <c r="G435" t="s">
        <v>31</v>
      </c>
      <c r="H435" t="s">
        <v>160</v>
      </c>
      <c r="I435" t="s">
        <v>136</v>
      </c>
      <c r="J435" t="s">
        <v>29</v>
      </c>
      <c r="K435">
        <v>1</v>
      </c>
      <c r="L435">
        <v>523517</v>
      </c>
      <c r="M435">
        <v>15000</v>
      </c>
      <c r="N435" t="s">
        <v>148</v>
      </c>
      <c r="O435" t="s">
        <v>165</v>
      </c>
      <c r="P435" t="s">
        <v>139</v>
      </c>
      <c r="Q435" t="s">
        <v>21</v>
      </c>
    </row>
    <row r="436" spans="1:17" x14ac:dyDescent="0.25">
      <c r="A436" t="s">
        <v>876</v>
      </c>
      <c r="B436" t="s">
        <v>376</v>
      </c>
      <c r="C436" t="s">
        <v>261</v>
      </c>
      <c r="D436" s="8">
        <v>46076</v>
      </c>
      <c r="E436" t="s">
        <v>114</v>
      </c>
      <c r="F436" t="s">
        <v>18</v>
      </c>
      <c r="G436" t="s">
        <v>18</v>
      </c>
      <c r="H436" t="s">
        <v>160</v>
      </c>
      <c r="I436" t="s">
        <v>39</v>
      </c>
      <c r="J436" t="s">
        <v>32</v>
      </c>
      <c r="K436">
        <v>3</v>
      </c>
      <c r="L436">
        <v>2106979</v>
      </c>
      <c r="M436">
        <v>50000</v>
      </c>
      <c r="N436" t="s">
        <v>137</v>
      </c>
      <c r="O436" t="s">
        <v>165</v>
      </c>
      <c r="P436" t="s">
        <v>139</v>
      </c>
      <c r="Q436" t="s">
        <v>21</v>
      </c>
    </row>
    <row r="437" spans="1:17" x14ac:dyDescent="0.25">
      <c r="A437" t="s">
        <v>877</v>
      </c>
      <c r="B437" t="s">
        <v>356</v>
      </c>
      <c r="C437" t="s">
        <v>357</v>
      </c>
      <c r="D437" s="8">
        <v>46041</v>
      </c>
      <c r="E437" t="s">
        <v>116</v>
      </c>
      <c r="F437" t="s">
        <v>31</v>
      </c>
      <c r="G437" t="s">
        <v>31</v>
      </c>
      <c r="H437" t="s">
        <v>143</v>
      </c>
      <c r="I437" t="s">
        <v>173</v>
      </c>
      <c r="J437" t="s">
        <v>35</v>
      </c>
      <c r="K437">
        <v>7</v>
      </c>
      <c r="L437">
        <v>447758</v>
      </c>
      <c r="M437">
        <v>15000</v>
      </c>
      <c r="N437" t="s">
        <v>137</v>
      </c>
      <c r="O437" t="s">
        <v>161</v>
      </c>
      <c r="P437" t="s">
        <v>139</v>
      </c>
      <c r="Q437" t="s">
        <v>21</v>
      </c>
    </row>
    <row r="438" spans="1:17" x14ac:dyDescent="0.25">
      <c r="A438" t="s">
        <v>878</v>
      </c>
      <c r="B438" t="s">
        <v>718</v>
      </c>
      <c r="C438" t="s">
        <v>155</v>
      </c>
      <c r="D438" s="8">
        <v>46080</v>
      </c>
      <c r="E438" t="s">
        <v>114</v>
      </c>
      <c r="F438" t="s">
        <v>18</v>
      </c>
      <c r="G438" t="s">
        <v>18</v>
      </c>
      <c r="H438" t="s">
        <v>1315</v>
      </c>
      <c r="I438" t="s">
        <v>173</v>
      </c>
      <c r="J438" t="s">
        <v>35</v>
      </c>
      <c r="K438">
        <v>4</v>
      </c>
      <c r="L438">
        <v>1335913</v>
      </c>
      <c r="M438">
        <v>25000</v>
      </c>
      <c r="N438" t="s">
        <v>137</v>
      </c>
      <c r="O438" t="s">
        <v>161</v>
      </c>
      <c r="P438" t="s">
        <v>156</v>
      </c>
      <c r="Q438" t="s">
        <v>21</v>
      </c>
    </row>
    <row r="439" spans="1:17" x14ac:dyDescent="0.25">
      <c r="A439" t="s">
        <v>879</v>
      </c>
      <c r="B439" t="s">
        <v>392</v>
      </c>
      <c r="C439" t="s">
        <v>183</v>
      </c>
      <c r="D439" s="8">
        <v>46155</v>
      </c>
      <c r="E439" t="s">
        <v>26</v>
      </c>
      <c r="F439" t="s">
        <v>23</v>
      </c>
      <c r="G439" t="s">
        <v>23</v>
      </c>
      <c r="H439" t="s">
        <v>28</v>
      </c>
      <c r="I439" t="s">
        <v>136</v>
      </c>
      <c r="J439" t="s">
        <v>20</v>
      </c>
      <c r="K439">
        <v>4</v>
      </c>
      <c r="L439">
        <v>2217349</v>
      </c>
      <c r="M439">
        <v>25000</v>
      </c>
      <c r="N439" t="s">
        <v>137</v>
      </c>
      <c r="O439" t="s">
        <v>138</v>
      </c>
      <c r="P439" t="s">
        <v>156</v>
      </c>
      <c r="Q439" t="s">
        <v>21</v>
      </c>
    </row>
    <row r="440" spans="1:17" x14ac:dyDescent="0.25">
      <c r="A440" t="s">
        <v>880</v>
      </c>
      <c r="B440" t="s">
        <v>881</v>
      </c>
      <c r="C440" t="s">
        <v>159</v>
      </c>
      <c r="D440" s="8">
        <v>46130</v>
      </c>
      <c r="E440" t="s">
        <v>117</v>
      </c>
      <c r="F440" t="s">
        <v>34</v>
      </c>
      <c r="G440" t="s">
        <v>34</v>
      </c>
      <c r="H440" t="s">
        <v>160</v>
      </c>
      <c r="I440" t="s">
        <v>177</v>
      </c>
      <c r="J440" t="s">
        <v>32</v>
      </c>
      <c r="K440">
        <v>3</v>
      </c>
      <c r="L440">
        <v>1214214</v>
      </c>
      <c r="M440">
        <v>15000</v>
      </c>
      <c r="N440" t="s">
        <v>148</v>
      </c>
      <c r="O440" t="s">
        <v>138</v>
      </c>
      <c r="P440" t="s">
        <v>156</v>
      </c>
      <c r="Q440" t="s">
        <v>21</v>
      </c>
    </row>
    <row r="441" spans="1:17" x14ac:dyDescent="0.25">
      <c r="A441" t="s">
        <v>882</v>
      </c>
      <c r="B441" t="s">
        <v>629</v>
      </c>
      <c r="C441" t="s">
        <v>441</v>
      </c>
      <c r="D441" s="8">
        <v>46167</v>
      </c>
      <c r="E441" t="s">
        <v>26</v>
      </c>
      <c r="F441" t="s">
        <v>27</v>
      </c>
      <c r="G441" t="s">
        <v>27</v>
      </c>
      <c r="H441" t="s">
        <v>160</v>
      </c>
      <c r="I441" t="s">
        <v>147</v>
      </c>
      <c r="J441" t="s">
        <v>32</v>
      </c>
      <c r="K441">
        <v>1</v>
      </c>
      <c r="L441">
        <v>268319</v>
      </c>
      <c r="M441">
        <v>25000</v>
      </c>
      <c r="N441" t="s">
        <v>43</v>
      </c>
      <c r="O441" t="s">
        <v>138</v>
      </c>
      <c r="P441" t="s">
        <v>156</v>
      </c>
      <c r="Q441" t="s">
        <v>38</v>
      </c>
    </row>
    <row r="442" spans="1:17" x14ac:dyDescent="0.25">
      <c r="A442" t="s">
        <v>883</v>
      </c>
      <c r="B442" t="s">
        <v>239</v>
      </c>
      <c r="C442" t="s">
        <v>240</v>
      </c>
      <c r="D442" s="8">
        <v>46033</v>
      </c>
      <c r="E442" t="s">
        <v>116</v>
      </c>
      <c r="F442" t="s">
        <v>31</v>
      </c>
      <c r="G442" t="s">
        <v>31</v>
      </c>
      <c r="H442" t="s">
        <v>28</v>
      </c>
      <c r="I442" t="s">
        <v>136</v>
      </c>
      <c r="J442" t="s">
        <v>29</v>
      </c>
      <c r="K442">
        <v>4</v>
      </c>
      <c r="L442">
        <v>556464</v>
      </c>
      <c r="M442">
        <v>0</v>
      </c>
      <c r="N442" t="s">
        <v>137</v>
      </c>
      <c r="O442" t="s">
        <v>138</v>
      </c>
      <c r="P442" t="s">
        <v>156</v>
      </c>
      <c r="Q442" t="s">
        <v>1318</v>
      </c>
    </row>
    <row r="443" spans="1:17" x14ac:dyDescent="0.25">
      <c r="A443" t="s">
        <v>884</v>
      </c>
      <c r="B443" t="s">
        <v>612</v>
      </c>
      <c r="C443" t="s">
        <v>205</v>
      </c>
      <c r="D443" s="8">
        <v>46037</v>
      </c>
      <c r="E443" t="s">
        <v>116</v>
      </c>
      <c r="F443" t="s">
        <v>23</v>
      </c>
      <c r="G443" t="s">
        <v>23</v>
      </c>
      <c r="H443" t="s">
        <v>28</v>
      </c>
      <c r="I443" t="s">
        <v>173</v>
      </c>
      <c r="J443" t="s">
        <v>32</v>
      </c>
      <c r="K443">
        <v>5</v>
      </c>
      <c r="L443">
        <v>230535</v>
      </c>
      <c r="M443">
        <v>15000</v>
      </c>
      <c r="N443" t="s">
        <v>137</v>
      </c>
      <c r="O443" t="s">
        <v>138</v>
      </c>
      <c r="P443" t="s">
        <v>139</v>
      </c>
      <c r="Q443" t="s">
        <v>21</v>
      </c>
    </row>
    <row r="444" spans="1:17" x14ac:dyDescent="0.25">
      <c r="A444" t="s">
        <v>885</v>
      </c>
      <c r="B444" t="s">
        <v>886</v>
      </c>
      <c r="C444" t="s">
        <v>176</v>
      </c>
      <c r="D444" s="8">
        <v>46055</v>
      </c>
      <c r="E444" t="s">
        <v>114</v>
      </c>
      <c r="F444" t="s">
        <v>27</v>
      </c>
      <c r="G444" t="s">
        <v>27</v>
      </c>
      <c r="H444" t="s">
        <v>1315</v>
      </c>
      <c r="I444" t="s">
        <v>136</v>
      </c>
      <c r="J444" t="s">
        <v>29</v>
      </c>
      <c r="K444">
        <v>5</v>
      </c>
      <c r="L444">
        <v>1922370</v>
      </c>
      <c r="M444">
        <v>35000</v>
      </c>
      <c r="N444" t="s">
        <v>137</v>
      </c>
      <c r="O444" t="s">
        <v>138</v>
      </c>
      <c r="P444" t="s">
        <v>139</v>
      </c>
      <c r="Q444" t="s">
        <v>21</v>
      </c>
    </row>
    <row r="445" spans="1:17" x14ac:dyDescent="0.25">
      <c r="A445" t="s">
        <v>887</v>
      </c>
      <c r="B445" t="s">
        <v>479</v>
      </c>
      <c r="C445" t="s">
        <v>164</v>
      </c>
      <c r="D445" s="8">
        <v>46037</v>
      </c>
      <c r="E445" t="s">
        <v>116</v>
      </c>
      <c r="F445" t="s">
        <v>27</v>
      </c>
      <c r="G445" t="s">
        <v>27</v>
      </c>
      <c r="H445" t="s">
        <v>160</v>
      </c>
      <c r="I445" t="s">
        <v>173</v>
      </c>
      <c r="J445" t="s">
        <v>29</v>
      </c>
      <c r="K445">
        <v>1</v>
      </c>
      <c r="L445">
        <v>1118958</v>
      </c>
      <c r="M445">
        <v>15000</v>
      </c>
      <c r="N445" t="s">
        <v>137</v>
      </c>
      <c r="O445" t="s">
        <v>161</v>
      </c>
      <c r="P445" t="s">
        <v>156</v>
      </c>
      <c r="Q445" t="s">
        <v>21</v>
      </c>
    </row>
    <row r="446" spans="1:17" x14ac:dyDescent="0.25">
      <c r="A446" t="s">
        <v>888</v>
      </c>
      <c r="B446" t="s">
        <v>512</v>
      </c>
      <c r="C446" t="s">
        <v>246</v>
      </c>
      <c r="D446" s="8">
        <v>46037</v>
      </c>
      <c r="E446" t="s">
        <v>116</v>
      </c>
      <c r="F446" t="s">
        <v>27</v>
      </c>
      <c r="G446" t="s">
        <v>27</v>
      </c>
      <c r="H446" t="s">
        <v>143</v>
      </c>
      <c r="I446" t="s">
        <v>136</v>
      </c>
      <c r="J446" t="s">
        <v>29</v>
      </c>
      <c r="K446">
        <v>2</v>
      </c>
      <c r="L446">
        <v>651484</v>
      </c>
      <c r="M446">
        <v>35000</v>
      </c>
      <c r="N446" t="s">
        <v>137</v>
      </c>
      <c r="P446" t="s">
        <v>139</v>
      </c>
      <c r="Q446" t="s">
        <v>1321</v>
      </c>
    </row>
    <row r="447" spans="1:17" x14ac:dyDescent="0.25">
      <c r="A447" t="s">
        <v>889</v>
      </c>
      <c r="B447" t="s">
        <v>890</v>
      </c>
      <c r="C447" t="s">
        <v>446</v>
      </c>
      <c r="D447" s="8">
        <v>46191</v>
      </c>
      <c r="E447" t="s">
        <v>113</v>
      </c>
      <c r="F447" t="s">
        <v>31</v>
      </c>
      <c r="G447" t="s">
        <v>31</v>
      </c>
      <c r="H447" t="s">
        <v>1315</v>
      </c>
      <c r="I447" t="s">
        <v>177</v>
      </c>
      <c r="J447" t="s">
        <v>32</v>
      </c>
      <c r="K447">
        <v>1</v>
      </c>
      <c r="L447">
        <v>633283</v>
      </c>
      <c r="M447">
        <v>0</v>
      </c>
      <c r="N447" t="s">
        <v>137</v>
      </c>
      <c r="O447" t="s">
        <v>138</v>
      </c>
      <c r="P447" t="s">
        <v>139</v>
      </c>
      <c r="Q447" t="s">
        <v>1318</v>
      </c>
    </row>
    <row r="448" spans="1:17" x14ac:dyDescent="0.25">
      <c r="A448" t="s">
        <v>891</v>
      </c>
      <c r="B448" t="s">
        <v>322</v>
      </c>
      <c r="C448" t="s">
        <v>323</v>
      </c>
      <c r="D448" s="8">
        <v>46164</v>
      </c>
      <c r="E448" t="s">
        <v>26</v>
      </c>
      <c r="F448" t="s">
        <v>119</v>
      </c>
      <c r="G448" t="s">
        <v>23</v>
      </c>
      <c r="H448" t="s">
        <v>160</v>
      </c>
      <c r="I448" t="s">
        <v>136</v>
      </c>
      <c r="J448" t="s">
        <v>32</v>
      </c>
      <c r="K448">
        <v>5</v>
      </c>
      <c r="L448">
        <v>1347603</v>
      </c>
      <c r="M448">
        <v>15000</v>
      </c>
      <c r="N448" t="s">
        <v>148</v>
      </c>
      <c r="O448" t="s">
        <v>165</v>
      </c>
      <c r="P448" t="s">
        <v>139</v>
      </c>
      <c r="Q448" t="s">
        <v>21</v>
      </c>
    </row>
    <row r="449" spans="1:17" x14ac:dyDescent="0.25">
      <c r="A449" t="s">
        <v>892</v>
      </c>
      <c r="B449" t="s">
        <v>151</v>
      </c>
      <c r="C449" t="s">
        <v>152</v>
      </c>
      <c r="D449" s="8">
        <v>46043</v>
      </c>
      <c r="E449" t="s">
        <v>116</v>
      </c>
      <c r="F449" t="s">
        <v>18</v>
      </c>
      <c r="G449" t="s">
        <v>18</v>
      </c>
      <c r="H449" t="s">
        <v>160</v>
      </c>
      <c r="I449" t="s">
        <v>136</v>
      </c>
      <c r="J449" t="s">
        <v>29</v>
      </c>
      <c r="K449">
        <v>7</v>
      </c>
      <c r="L449">
        <v>973771</v>
      </c>
      <c r="M449">
        <v>15000</v>
      </c>
      <c r="N449" t="s">
        <v>37</v>
      </c>
      <c r="O449" t="s">
        <v>149</v>
      </c>
      <c r="P449" t="s">
        <v>156</v>
      </c>
      <c r="Q449" t="s">
        <v>21</v>
      </c>
    </row>
    <row r="450" spans="1:17" x14ac:dyDescent="0.25">
      <c r="A450" t="s">
        <v>893</v>
      </c>
      <c r="B450" t="s">
        <v>656</v>
      </c>
      <c r="C450" t="s">
        <v>192</v>
      </c>
      <c r="D450" s="8">
        <v>46201</v>
      </c>
      <c r="E450" t="s">
        <v>113</v>
      </c>
      <c r="F450" t="s">
        <v>34</v>
      </c>
      <c r="G450" t="s">
        <v>34</v>
      </c>
      <c r="H450" t="s">
        <v>1315</v>
      </c>
      <c r="I450" t="s">
        <v>147</v>
      </c>
      <c r="J450" t="s">
        <v>32</v>
      </c>
      <c r="K450">
        <v>1</v>
      </c>
      <c r="L450" t="s">
        <v>894</v>
      </c>
      <c r="M450">
        <v>35000</v>
      </c>
      <c r="N450" t="s">
        <v>137</v>
      </c>
      <c r="O450" t="s">
        <v>165</v>
      </c>
      <c r="P450" t="s">
        <v>139</v>
      </c>
      <c r="Q450" t="s">
        <v>21</v>
      </c>
    </row>
    <row r="451" spans="1:17" x14ac:dyDescent="0.25">
      <c r="A451" t="s">
        <v>895</v>
      </c>
      <c r="B451" t="s">
        <v>813</v>
      </c>
      <c r="C451" t="s">
        <v>226</v>
      </c>
      <c r="D451" s="8">
        <v>46044</v>
      </c>
      <c r="E451" t="s">
        <v>116</v>
      </c>
      <c r="F451" t="s">
        <v>31</v>
      </c>
      <c r="G451" t="s">
        <v>31</v>
      </c>
      <c r="H451" t="s">
        <v>28</v>
      </c>
      <c r="I451" t="s">
        <v>39</v>
      </c>
      <c r="J451" t="s">
        <v>20</v>
      </c>
      <c r="K451">
        <v>7</v>
      </c>
      <c r="L451">
        <v>370484</v>
      </c>
      <c r="M451">
        <v>25000</v>
      </c>
      <c r="N451" t="s">
        <v>137</v>
      </c>
      <c r="O451" t="s">
        <v>138</v>
      </c>
      <c r="P451" t="s">
        <v>156</v>
      </c>
      <c r="Q451" t="s">
        <v>21</v>
      </c>
    </row>
    <row r="452" spans="1:17" x14ac:dyDescent="0.25">
      <c r="A452" t="s">
        <v>896</v>
      </c>
      <c r="B452" t="s">
        <v>897</v>
      </c>
      <c r="C452" t="s">
        <v>456</v>
      </c>
      <c r="D452" s="8">
        <v>46120</v>
      </c>
      <c r="E452" t="s">
        <v>117</v>
      </c>
      <c r="F452" t="s">
        <v>27</v>
      </c>
      <c r="G452" t="s">
        <v>27</v>
      </c>
      <c r="H452" t="s">
        <v>1315</v>
      </c>
      <c r="I452" t="s">
        <v>173</v>
      </c>
      <c r="J452" t="s">
        <v>35</v>
      </c>
      <c r="K452">
        <v>5</v>
      </c>
      <c r="L452">
        <v>893542</v>
      </c>
      <c r="M452">
        <v>35000</v>
      </c>
      <c r="N452" t="s">
        <v>137</v>
      </c>
      <c r="O452" t="s">
        <v>161</v>
      </c>
      <c r="P452" t="s">
        <v>139</v>
      </c>
      <c r="Q452" t="s">
        <v>21</v>
      </c>
    </row>
    <row r="453" spans="1:17" x14ac:dyDescent="0.25">
      <c r="A453" t="s">
        <v>898</v>
      </c>
      <c r="B453" t="s">
        <v>872</v>
      </c>
      <c r="C453" t="s">
        <v>284</v>
      </c>
      <c r="D453" s="8">
        <v>46090</v>
      </c>
      <c r="E453" t="s">
        <v>115</v>
      </c>
      <c r="F453" t="s">
        <v>31</v>
      </c>
      <c r="G453" t="s">
        <v>31</v>
      </c>
      <c r="H453" t="s">
        <v>160</v>
      </c>
      <c r="I453" t="s">
        <v>173</v>
      </c>
      <c r="J453" t="s">
        <v>35</v>
      </c>
      <c r="K453">
        <v>3</v>
      </c>
      <c r="L453">
        <v>1028251</v>
      </c>
      <c r="M453">
        <v>0</v>
      </c>
      <c r="N453" t="s">
        <v>137</v>
      </c>
      <c r="O453" t="s">
        <v>138</v>
      </c>
      <c r="P453" t="s">
        <v>139</v>
      </c>
      <c r="Q453" t="s">
        <v>1318</v>
      </c>
    </row>
    <row r="454" spans="1:17" x14ac:dyDescent="0.25">
      <c r="A454" t="s">
        <v>899</v>
      </c>
      <c r="B454" t="s">
        <v>551</v>
      </c>
      <c r="C454" t="s">
        <v>452</v>
      </c>
      <c r="D454" s="8">
        <v>46196</v>
      </c>
      <c r="E454" t="s">
        <v>113</v>
      </c>
      <c r="F454" t="s">
        <v>27</v>
      </c>
      <c r="G454" t="s">
        <v>27</v>
      </c>
      <c r="H454" t="s">
        <v>1315</v>
      </c>
      <c r="I454" t="s">
        <v>177</v>
      </c>
      <c r="J454" t="s">
        <v>32</v>
      </c>
      <c r="K454">
        <v>4</v>
      </c>
      <c r="L454">
        <v>1325520</v>
      </c>
      <c r="M454">
        <v>50000</v>
      </c>
      <c r="N454" t="s">
        <v>137</v>
      </c>
      <c r="O454" t="s">
        <v>407</v>
      </c>
      <c r="P454" t="s">
        <v>139</v>
      </c>
      <c r="Q454" t="s">
        <v>21</v>
      </c>
    </row>
    <row r="455" spans="1:17" x14ac:dyDescent="0.25">
      <c r="A455" t="s">
        <v>900</v>
      </c>
      <c r="B455" t="s">
        <v>253</v>
      </c>
      <c r="C455" t="s">
        <v>176</v>
      </c>
      <c r="D455" s="8">
        <v>46083</v>
      </c>
      <c r="E455" t="s">
        <v>115</v>
      </c>
      <c r="F455" t="s">
        <v>18</v>
      </c>
      <c r="G455" t="s">
        <v>18</v>
      </c>
      <c r="H455" t="s">
        <v>1315</v>
      </c>
      <c r="I455" t="s">
        <v>136</v>
      </c>
      <c r="J455" t="s">
        <v>35</v>
      </c>
      <c r="K455">
        <v>3</v>
      </c>
      <c r="L455">
        <v>673114</v>
      </c>
      <c r="M455">
        <v>0</v>
      </c>
      <c r="N455" t="s">
        <v>148</v>
      </c>
      <c r="O455" t="s">
        <v>138</v>
      </c>
      <c r="P455" t="s">
        <v>139</v>
      </c>
      <c r="Q455" t="s">
        <v>1318</v>
      </c>
    </row>
    <row r="456" spans="1:17" x14ac:dyDescent="0.25">
      <c r="A456" t="s">
        <v>901</v>
      </c>
      <c r="B456" t="s">
        <v>421</v>
      </c>
      <c r="C456" t="s">
        <v>340</v>
      </c>
      <c r="D456" s="8">
        <v>46180</v>
      </c>
      <c r="E456" t="s">
        <v>113</v>
      </c>
      <c r="F456" t="s">
        <v>27</v>
      </c>
      <c r="G456" t="s">
        <v>27</v>
      </c>
      <c r="H456" t="s">
        <v>160</v>
      </c>
      <c r="I456" t="s">
        <v>173</v>
      </c>
      <c r="J456" t="s">
        <v>25</v>
      </c>
      <c r="K456">
        <v>3</v>
      </c>
      <c r="L456">
        <v>1270371</v>
      </c>
      <c r="M456">
        <v>25000</v>
      </c>
      <c r="N456" t="s">
        <v>137</v>
      </c>
      <c r="O456" t="s">
        <v>165</v>
      </c>
      <c r="P456" t="s">
        <v>139</v>
      </c>
      <c r="Q456" t="s">
        <v>21</v>
      </c>
    </row>
    <row r="457" spans="1:17" x14ac:dyDescent="0.25">
      <c r="A457" t="s">
        <v>902</v>
      </c>
      <c r="B457" t="s">
        <v>385</v>
      </c>
      <c r="C457" t="s">
        <v>176</v>
      </c>
      <c r="D457" s="8">
        <v>46090</v>
      </c>
      <c r="E457" t="s">
        <v>115</v>
      </c>
      <c r="F457" t="s">
        <v>23</v>
      </c>
      <c r="G457" t="s">
        <v>23</v>
      </c>
      <c r="H457" t="s">
        <v>1315</v>
      </c>
      <c r="I457" t="s">
        <v>39</v>
      </c>
      <c r="J457" t="s">
        <v>35</v>
      </c>
      <c r="K457">
        <v>4</v>
      </c>
      <c r="L457">
        <v>869876</v>
      </c>
      <c r="M457">
        <v>35000</v>
      </c>
      <c r="N457" t="s">
        <v>137</v>
      </c>
      <c r="O457" t="s">
        <v>161</v>
      </c>
      <c r="P457" t="s">
        <v>156</v>
      </c>
      <c r="Q457" t="s">
        <v>21</v>
      </c>
    </row>
    <row r="458" spans="1:17" x14ac:dyDescent="0.25">
      <c r="A458" t="s">
        <v>903</v>
      </c>
      <c r="B458" t="s">
        <v>599</v>
      </c>
      <c r="C458" t="s">
        <v>22</v>
      </c>
      <c r="D458" s="8">
        <v>46037</v>
      </c>
      <c r="E458" t="s">
        <v>116</v>
      </c>
      <c r="F458" t="s">
        <v>31</v>
      </c>
      <c r="G458" t="s">
        <v>31</v>
      </c>
      <c r="H458" t="s">
        <v>143</v>
      </c>
      <c r="I458" t="s">
        <v>136</v>
      </c>
      <c r="J458" t="s">
        <v>25</v>
      </c>
      <c r="K458">
        <v>5</v>
      </c>
      <c r="L458">
        <v>453643</v>
      </c>
      <c r="M458">
        <v>25000</v>
      </c>
      <c r="N458" t="s">
        <v>137</v>
      </c>
      <c r="O458" t="s">
        <v>149</v>
      </c>
      <c r="P458" t="s">
        <v>139</v>
      </c>
      <c r="Q458" t="s">
        <v>21</v>
      </c>
    </row>
    <row r="459" spans="1:17" x14ac:dyDescent="0.25">
      <c r="A459" t="s">
        <v>904</v>
      </c>
      <c r="B459" t="s">
        <v>379</v>
      </c>
      <c r="C459" t="s">
        <v>380</v>
      </c>
      <c r="D459" s="8">
        <v>46149</v>
      </c>
      <c r="E459" t="s">
        <v>26</v>
      </c>
      <c r="F459" t="s">
        <v>23</v>
      </c>
      <c r="G459" t="s">
        <v>23</v>
      </c>
      <c r="H459" t="s">
        <v>143</v>
      </c>
      <c r="I459" t="s">
        <v>173</v>
      </c>
      <c r="J459" t="s">
        <v>20</v>
      </c>
      <c r="K459">
        <v>6</v>
      </c>
      <c r="L459">
        <v>653609</v>
      </c>
      <c r="M459">
        <v>15000</v>
      </c>
      <c r="N459" t="s">
        <v>214</v>
      </c>
      <c r="O459" t="s">
        <v>165</v>
      </c>
      <c r="P459" t="s">
        <v>156</v>
      </c>
      <c r="Q459" t="s">
        <v>21</v>
      </c>
    </row>
    <row r="460" spans="1:17" x14ac:dyDescent="0.25">
      <c r="A460" t="s">
        <v>905</v>
      </c>
      <c r="B460" t="s">
        <v>274</v>
      </c>
      <c r="C460" t="s">
        <v>192</v>
      </c>
      <c r="D460" s="8">
        <v>46152</v>
      </c>
      <c r="E460" t="s">
        <v>26</v>
      </c>
      <c r="F460" t="s">
        <v>23</v>
      </c>
      <c r="G460" t="s">
        <v>23</v>
      </c>
      <c r="H460" t="s">
        <v>1315</v>
      </c>
      <c r="I460" t="s">
        <v>136</v>
      </c>
      <c r="J460" t="s">
        <v>20</v>
      </c>
      <c r="K460">
        <v>3</v>
      </c>
      <c r="L460">
        <v>1966789</v>
      </c>
      <c r="M460">
        <v>50000</v>
      </c>
      <c r="N460" t="s">
        <v>137</v>
      </c>
      <c r="O460" t="s">
        <v>138</v>
      </c>
      <c r="P460" t="s">
        <v>139</v>
      </c>
      <c r="Q460" t="s">
        <v>21</v>
      </c>
    </row>
    <row r="461" spans="1:17" x14ac:dyDescent="0.25">
      <c r="A461" t="s">
        <v>906</v>
      </c>
      <c r="B461" t="s">
        <v>179</v>
      </c>
      <c r="C461" t="s">
        <v>180</v>
      </c>
      <c r="D461" s="8">
        <v>46034</v>
      </c>
      <c r="E461" t="s">
        <v>116</v>
      </c>
      <c r="F461" t="s">
        <v>27</v>
      </c>
      <c r="G461" t="s">
        <v>27</v>
      </c>
      <c r="H461" t="s">
        <v>160</v>
      </c>
      <c r="I461" t="s">
        <v>177</v>
      </c>
      <c r="J461" t="s">
        <v>29</v>
      </c>
      <c r="K461">
        <v>1</v>
      </c>
      <c r="L461">
        <v>1104389</v>
      </c>
      <c r="M461">
        <v>25000</v>
      </c>
      <c r="N461" t="s">
        <v>137</v>
      </c>
      <c r="O461" t="s">
        <v>138</v>
      </c>
      <c r="P461" t="s">
        <v>139</v>
      </c>
      <c r="Q461" t="s">
        <v>21</v>
      </c>
    </row>
    <row r="462" spans="1:17" x14ac:dyDescent="0.25">
      <c r="A462" t="s">
        <v>907</v>
      </c>
      <c r="B462" t="s">
        <v>705</v>
      </c>
      <c r="C462" t="s">
        <v>502</v>
      </c>
      <c r="D462" s="8">
        <v>46118</v>
      </c>
      <c r="E462" t="s">
        <v>117</v>
      </c>
      <c r="F462" t="s">
        <v>23</v>
      </c>
      <c r="G462" t="s">
        <v>23</v>
      </c>
      <c r="H462" t="s">
        <v>1315</v>
      </c>
      <c r="I462" t="s">
        <v>147</v>
      </c>
      <c r="J462" t="s">
        <v>25</v>
      </c>
      <c r="K462">
        <v>6</v>
      </c>
      <c r="L462">
        <v>1864703</v>
      </c>
      <c r="M462">
        <v>0</v>
      </c>
      <c r="N462" t="s">
        <v>137</v>
      </c>
      <c r="O462" t="s">
        <v>161</v>
      </c>
      <c r="P462" t="s">
        <v>139</v>
      </c>
      <c r="Q462" t="s">
        <v>1318</v>
      </c>
    </row>
    <row r="463" spans="1:17" x14ac:dyDescent="0.25">
      <c r="A463" t="s">
        <v>908</v>
      </c>
      <c r="B463" t="s">
        <v>599</v>
      </c>
      <c r="C463" t="s">
        <v>22</v>
      </c>
      <c r="D463" s="8">
        <v>46189</v>
      </c>
      <c r="E463" t="s">
        <v>113</v>
      </c>
      <c r="F463" t="s">
        <v>23</v>
      </c>
      <c r="G463" t="s">
        <v>23</v>
      </c>
      <c r="H463" t="s">
        <v>1315</v>
      </c>
      <c r="I463" t="s">
        <v>177</v>
      </c>
      <c r="J463" t="s">
        <v>35</v>
      </c>
      <c r="K463">
        <v>3</v>
      </c>
      <c r="L463">
        <v>1691671</v>
      </c>
      <c r="M463">
        <v>35000</v>
      </c>
      <c r="N463" t="s">
        <v>137</v>
      </c>
      <c r="O463" t="s">
        <v>161</v>
      </c>
      <c r="P463" t="s">
        <v>156</v>
      </c>
      <c r="Q463" t="s">
        <v>21</v>
      </c>
    </row>
    <row r="464" spans="1:17" x14ac:dyDescent="0.25">
      <c r="A464" t="s">
        <v>909</v>
      </c>
      <c r="B464" t="s">
        <v>910</v>
      </c>
      <c r="C464" t="s">
        <v>911</v>
      </c>
      <c r="D464" s="8">
        <v>46178</v>
      </c>
      <c r="E464" t="s">
        <v>113</v>
      </c>
      <c r="F464" t="s">
        <v>27</v>
      </c>
      <c r="G464" t="s">
        <v>27</v>
      </c>
      <c r="H464" t="s">
        <v>1315</v>
      </c>
      <c r="I464" t="s">
        <v>177</v>
      </c>
      <c r="J464" t="s">
        <v>32</v>
      </c>
      <c r="K464">
        <v>5</v>
      </c>
      <c r="L464">
        <v>1007009</v>
      </c>
      <c r="M464">
        <v>25000</v>
      </c>
      <c r="N464" t="s">
        <v>137</v>
      </c>
      <c r="O464" t="s">
        <v>138</v>
      </c>
      <c r="P464" t="s">
        <v>156</v>
      </c>
      <c r="Q464" t="s">
        <v>21</v>
      </c>
    </row>
    <row r="465" spans="1:17" x14ac:dyDescent="0.25">
      <c r="A465" t="s">
        <v>912</v>
      </c>
      <c r="B465" t="s">
        <v>506</v>
      </c>
      <c r="C465" t="s">
        <v>189</v>
      </c>
      <c r="D465" s="8">
        <v>46061</v>
      </c>
      <c r="E465" t="s">
        <v>114</v>
      </c>
      <c r="F465" t="s">
        <v>27</v>
      </c>
      <c r="G465" t="s">
        <v>27</v>
      </c>
      <c r="H465" t="s">
        <v>28</v>
      </c>
      <c r="I465" t="s">
        <v>147</v>
      </c>
      <c r="J465" t="s">
        <v>20</v>
      </c>
      <c r="K465">
        <v>1</v>
      </c>
      <c r="L465">
        <v>1718405</v>
      </c>
      <c r="M465">
        <v>0</v>
      </c>
      <c r="N465" t="s">
        <v>37</v>
      </c>
      <c r="O465" t="s">
        <v>165</v>
      </c>
      <c r="P465" t="s">
        <v>156</v>
      </c>
      <c r="Q465" t="s">
        <v>1318</v>
      </c>
    </row>
    <row r="466" spans="1:17" x14ac:dyDescent="0.25">
      <c r="A466" t="s">
        <v>913</v>
      </c>
      <c r="B466" t="s">
        <v>622</v>
      </c>
      <c r="C466" t="s">
        <v>623</v>
      </c>
      <c r="D466" s="8">
        <v>46143</v>
      </c>
      <c r="E466" t="s">
        <v>26</v>
      </c>
      <c r="F466" t="s">
        <v>27</v>
      </c>
      <c r="G466" t="s">
        <v>27</v>
      </c>
      <c r="H466" t="s">
        <v>1315</v>
      </c>
      <c r="I466" t="s">
        <v>177</v>
      </c>
      <c r="J466" t="s">
        <v>25</v>
      </c>
      <c r="K466">
        <v>4</v>
      </c>
      <c r="L466">
        <v>2319694</v>
      </c>
      <c r="M466">
        <v>50000</v>
      </c>
      <c r="N466" t="s">
        <v>137</v>
      </c>
      <c r="O466" t="s">
        <v>161</v>
      </c>
      <c r="P466" t="s">
        <v>156</v>
      </c>
      <c r="Q466" t="s">
        <v>21</v>
      </c>
    </row>
    <row r="467" spans="1:17" x14ac:dyDescent="0.25">
      <c r="A467" t="s">
        <v>914</v>
      </c>
      <c r="B467" t="s">
        <v>389</v>
      </c>
      <c r="C467" t="s">
        <v>146</v>
      </c>
      <c r="D467" s="8">
        <v>46115</v>
      </c>
      <c r="E467" t="s">
        <v>117</v>
      </c>
      <c r="F467" t="s">
        <v>18</v>
      </c>
      <c r="G467" t="s">
        <v>18</v>
      </c>
      <c r="H467" t="s">
        <v>28</v>
      </c>
      <c r="I467" t="s">
        <v>169</v>
      </c>
      <c r="J467" t="s">
        <v>32</v>
      </c>
      <c r="K467">
        <v>3</v>
      </c>
      <c r="L467">
        <v>1088425</v>
      </c>
      <c r="M467">
        <v>35000</v>
      </c>
      <c r="N467" t="s">
        <v>137</v>
      </c>
      <c r="O467" t="s">
        <v>161</v>
      </c>
      <c r="P467" t="s">
        <v>139</v>
      </c>
      <c r="Q467" t="s">
        <v>21</v>
      </c>
    </row>
    <row r="468" spans="1:17" x14ac:dyDescent="0.25">
      <c r="A468" t="s">
        <v>915</v>
      </c>
      <c r="B468" t="s">
        <v>739</v>
      </c>
      <c r="C468" t="s">
        <v>192</v>
      </c>
      <c r="D468" s="8">
        <v>46113</v>
      </c>
      <c r="E468" t="s">
        <v>117</v>
      </c>
      <c r="F468" t="s">
        <v>27</v>
      </c>
      <c r="G468" t="s">
        <v>27</v>
      </c>
      <c r="H468" t="s">
        <v>143</v>
      </c>
      <c r="I468" t="s">
        <v>39</v>
      </c>
      <c r="J468" t="s">
        <v>32</v>
      </c>
      <c r="K468">
        <v>1</v>
      </c>
      <c r="M468">
        <v>50000</v>
      </c>
      <c r="N468" t="s">
        <v>43</v>
      </c>
      <c r="O468" t="s">
        <v>138</v>
      </c>
      <c r="P468" t="s">
        <v>156</v>
      </c>
      <c r="Q468" t="s">
        <v>1317</v>
      </c>
    </row>
    <row r="469" spans="1:17" x14ac:dyDescent="0.25">
      <c r="A469" t="s">
        <v>916</v>
      </c>
      <c r="B469" t="s">
        <v>475</v>
      </c>
      <c r="C469" t="s">
        <v>213</v>
      </c>
      <c r="D469" s="8">
        <v>46055</v>
      </c>
      <c r="E469" t="s">
        <v>114</v>
      </c>
      <c r="F469" t="s">
        <v>18</v>
      </c>
      <c r="G469" t="s">
        <v>18</v>
      </c>
      <c r="H469" t="s">
        <v>1315</v>
      </c>
      <c r="I469" t="s">
        <v>136</v>
      </c>
      <c r="J469" t="s">
        <v>25</v>
      </c>
      <c r="K469">
        <v>7</v>
      </c>
      <c r="L469">
        <v>2374924</v>
      </c>
      <c r="M469">
        <v>15000</v>
      </c>
      <c r="N469" t="s">
        <v>43</v>
      </c>
      <c r="O469" t="s">
        <v>390</v>
      </c>
      <c r="P469" t="s">
        <v>139</v>
      </c>
      <c r="Q469" t="s">
        <v>38</v>
      </c>
    </row>
    <row r="470" spans="1:17" x14ac:dyDescent="0.25">
      <c r="A470" t="s">
        <v>917</v>
      </c>
      <c r="B470" t="s">
        <v>235</v>
      </c>
      <c r="C470" t="s">
        <v>142</v>
      </c>
      <c r="D470" s="8">
        <v>46043</v>
      </c>
      <c r="E470" t="s">
        <v>116</v>
      </c>
      <c r="F470" t="s">
        <v>18</v>
      </c>
      <c r="G470" t="s">
        <v>18</v>
      </c>
      <c r="H470" t="s">
        <v>143</v>
      </c>
      <c r="I470" t="s">
        <v>39</v>
      </c>
      <c r="J470" t="s">
        <v>20</v>
      </c>
      <c r="K470">
        <v>5</v>
      </c>
      <c r="L470">
        <v>1833384</v>
      </c>
      <c r="M470">
        <v>35000</v>
      </c>
      <c r="N470" t="s">
        <v>37</v>
      </c>
      <c r="O470" t="s">
        <v>165</v>
      </c>
      <c r="P470" t="s">
        <v>156</v>
      </c>
      <c r="Q470" t="s">
        <v>21</v>
      </c>
    </row>
    <row r="471" spans="1:17" x14ac:dyDescent="0.25">
      <c r="A471" t="s">
        <v>918</v>
      </c>
      <c r="B471" t="s">
        <v>235</v>
      </c>
      <c r="C471" t="s">
        <v>142</v>
      </c>
      <c r="D471" s="8">
        <v>46130</v>
      </c>
      <c r="E471" t="s">
        <v>117</v>
      </c>
      <c r="F471" t="s">
        <v>18</v>
      </c>
      <c r="G471" t="s">
        <v>18</v>
      </c>
      <c r="H471" t="s">
        <v>160</v>
      </c>
      <c r="I471" t="s">
        <v>39</v>
      </c>
      <c r="J471" t="s">
        <v>20</v>
      </c>
      <c r="K471">
        <v>6</v>
      </c>
      <c r="L471">
        <v>1224679</v>
      </c>
      <c r="M471">
        <v>50000</v>
      </c>
      <c r="N471" t="s">
        <v>43</v>
      </c>
      <c r="O471" t="s">
        <v>138</v>
      </c>
      <c r="P471" t="s">
        <v>156</v>
      </c>
      <c r="Q471" t="s">
        <v>38</v>
      </c>
    </row>
    <row r="472" spans="1:17" x14ac:dyDescent="0.25">
      <c r="A472" t="s">
        <v>919</v>
      </c>
      <c r="B472" t="s">
        <v>515</v>
      </c>
      <c r="C472" t="s">
        <v>334</v>
      </c>
      <c r="D472" s="8">
        <v>46056</v>
      </c>
      <c r="E472" t="s">
        <v>114</v>
      </c>
      <c r="F472" t="s">
        <v>31</v>
      </c>
      <c r="G472" t="s">
        <v>31</v>
      </c>
      <c r="H472" t="s">
        <v>143</v>
      </c>
      <c r="I472" t="s">
        <v>169</v>
      </c>
      <c r="J472" t="s">
        <v>25</v>
      </c>
      <c r="K472">
        <v>4</v>
      </c>
      <c r="L472">
        <v>2279634</v>
      </c>
      <c r="M472">
        <v>50000</v>
      </c>
      <c r="N472" t="s">
        <v>43</v>
      </c>
      <c r="O472" t="s">
        <v>138</v>
      </c>
      <c r="P472" t="s">
        <v>156</v>
      </c>
      <c r="Q472" t="s">
        <v>38</v>
      </c>
    </row>
    <row r="473" spans="1:17" x14ac:dyDescent="0.25">
      <c r="A473" t="s">
        <v>920</v>
      </c>
      <c r="B473" t="s">
        <v>881</v>
      </c>
      <c r="C473" t="s">
        <v>159</v>
      </c>
      <c r="D473" s="8">
        <v>46109</v>
      </c>
      <c r="E473" t="s">
        <v>115</v>
      </c>
      <c r="F473" t="s">
        <v>31</v>
      </c>
      <c r="G473" t="s">
        <v>31</v>
      </c>
      <c r="H473" t="s">
        <v>28</v>
      </c>
      <c r="I473" t="s">
        <v>169</v>
      </c>
      <c r="J473" t="s">
        <v>32</v>
      </c>
      <c r="K473">
        <v>1</v>
      </c>
      <c r="L473">
        <v>572027</v>
      </c>
      <c r="M473">
        <v>0</v>
      </c>
      <c r="N473" t="s">
        <v>137</v>
      </c>
      <c r="O473" t="s">
        <v>138</v>
      </c>
      <c r="P473" t="s">
        <v>139</v>
      </c>
      <c r="Q473" t="s">
        <v>1318</v>
      </c>
    </row>
    <row r="474" spans="1:17" x14ac:dyDescent="0.25">
      <c r="A474" t="s">
        <v>921</v>
      </c>
      <c r="B474" t="s">
        <v>401</v>
      </c>
      <c r="C474" t="s">
        <v>189</v>
      </c>
      <c r="D474" s="8">
        <v>46086</v>
      </c>
      <c r="E474" t="s">
        <v>115</v>
      </c>
      <c r="F474" t="s">
        <v>27</v>
      </c>
      <c r="G474" t="s">
        <v>27</v>
      </c>
      <c r="H474" t="s">
        <v>160</v>
      </c>
      <c r="I474" t="s">
        <v>177</v>
      </c>
      <c r="J474" t="s">
        <v>20</v>
      </c>
      <c r="K474">
        <v>6</v>
      </c>
      <c r="L474">
        <v>684576</v>
      </c>
      <c r="M474">
        <v>15000</v>
      </c>
      <c r="N474" t="s">
        <v>262</v>
      </c>
      <c r="O474" t="s">
        <v>165</v>
      </c>
      <c r="P474" t="s">
        <v>139</v>
      </c>
      <c r="Q474" t="s">
        <v>21</v>
      </c>
    </row>
    <row r="475" spans="1:17" x14ac:dyDescent="0.25">
      <c r="A475" t="s">
        <v>922</v>
      </c>
      <c r="B475" t="s">
        <v>672</v>
      </c>
      <c r="C475" t="s">
        <v>452</v>
      </c>
      <c r="D475" s="8">
        <v>46189</v>
      </c>
      <c r="E475" t="s">
        <v>113</v>
      </c>
      <c r="F475" t="s">
        <v>27</v>
      </c>
      <c r="G475" t="s">
        <v>27</v>
      </c>
      <c r="H475" t="s">
        <v>1315</v>
      </c>
      <c r="I475" t="s">
        <v>173</v>
      </c>
      <c r="J475" t="s">
        <v>29</v>
      </c>
      <c r="K475">
        <v>3</v>
      </c>
      <c r="L475">
        <v>2022230</v>
      </c>
      <c r="M475">
        <v>35000</v>
      </c>
      <c r="N475" t="s">
        <v>137</v>
      </c>
      <c r="O475" t="s">
        <v>138</v>
      </c>
      <c r="P475" t="s">
        <v>139</v>
      </c>
      <c r="Q475" t="s">
        <v>21</v>
      </c>
    </row>
    <row r="476" spans="1:17" x14ac:dyDescent="0.25">
      <c r="A476" t="s">
        <v>923</v>
      </c>
      <c r="B476" t="s">
        <v>271</v>
      </c>
      <c r="C476" t="s">
        <v>272</v>
      </c>
      <c r="D476" s="8">
        <v>46110</v>
      </c>
      <c r="E476" t="s">
        <v>115</v>
      </c>
      <c r="F476" t="s">
        <v>31</v>
      </c>
      <c r="G476" t="s">
        <v>31</v>
      </c>
      <c r="H476" t="s">
        <v>1315</v>
      </c>
      <c r="I476" t="s">
        <v>136</v>
      </c>
      <c r="J476" t="s">
        <v>32</v>
      </c>
      <c r="K476">
        <v>5</v>
      </c>
      <c r="L476">
        <v>322534</v>
      </c>
      <c r="M476">
        <v>50000</v>
      </c>
      <c r="N476" t="s">
        <v>148</v>
      </c>
      <c r="O476" t="s">
        <v>149</v>
      </c>
      <c r="P476" t="s">
        <v>139</v>
      </c>
      <c r="Q476" t="s">
        <v>21</v>
      </c>
    </row>
    <row r="477" spans="1:17" x14ac:dyDescent="0.25">
      <c r="A477" t="s">
        <v>924</v>
      </c>
      <c r="B477" t="s">
        <v>925</v>
      </c>
      <c r="C477" t="s">
        <v>258</v>
      </c>
      <c r="D477" s="8">
        <v>46068</v>
      </c>
      <c r="E477" t="s">
        <v>114</v>
      </c>
      <c r="F477" t="s">
        <v>18</v>
      </c>
      <c r="G477" t="s">
        <v>18</v>
      </c>
      <c r="H477" t="s">
        <v>28</v>
      </c>
      <c r="I477" t="s">
        <v>147</v>
      </c>
      <c r="J477" t="s">
        <v>25</v>
      </c>
      <c r="K477">
        <v>7</v>
      </c>
      <c r="L477">
        <v>720609</v>
      </c>
      <c r="M477">
        <v>0</v>
      </c>
      <c r="N477" t="s">
        <v>43</v>
      </c>
      <c r="O477" t="s">
        <v>165</v>
      </c>
      <c r="P477" t="s">
        <v>139</v>
      </c>
      <c r="Q477" t="s">
        <v>1321</v>
      </c>
    </row>
    <row r="478" spans="1:17" x14ac:dyDescent="0.25">
      <c r="A478" t="s">
        <v>926</v>
      </c>
      <c r="B478" t="s">
        <v>286</v>
      </c>
      <c r="C478" t="s">
        <v>287</v>
      </c>
      <c r="D478" s="8">
        <v>46111</v>
      </c>
      <c r="E478" t="s">
        <v>115</v>
      </c>
      <c r="F478" t="s">
        <v>18</v>
      </c>
      <c r="G478" t="s">
        <v>18</v>
      </c>
      <c r="H478" t="s">
        <v>143</v>
      </c>
      <c r="I478" t="s">
        <v>136</v>
      </c>
      <c r="J478" t="s">
        <v>25</v>
      </c>
      <c r="K478">
        <v>1</v>
      </c>
      <c r="L478">
        <v>1314499</v>
      </c>
      <c r="M478">
        <v>15000</v>
      </c>
      <c r="N478" t="s">
        <v>137</v>
      </c>
      <c r="O478" t="s">
        <v>138</v>
      </c>
      <c r="P478" t="s">
        <v>156</v>
      </c>
      <c r="Q478" t="s">
        <v>21</v>
      </c>
    </row>
    <row r="479" spans="1:17" x14ac:dyDescent="0.25">
      <c r="A479" t="s">
        <v>927</v>
      </c>
      <c r="B479" t="s">
        <v>872</v>
      </c>
      <c r="C479" t="s">
        <v>284</v>
      </c>
      <c r="D479" s="8">
        <v>46082</v>
      </c>
      <c r="E479" t="s">
        <v>115</v>
      </c>
      <c r="F479" t="s">
        <v>18</v>
      </c>
      <c r="G479" t="s">
        <v>18</v>
      </c>
      <c r="H479" t="s">
        <v>160</v>
      </c>
      <c r="I479" t="s">
        <v>147</v>
      </c>
      <c r="J479" t="s">
        <v>20</v>
      </c>
      <c r="K479">
        <v>1</v>
      </c>
      <c r="L479">
        <v>1288653</v>
      </c>
      <c r="M479">
        <v>15000</v>
      </c>
      <c r="N479" t="s">
        <v>137</v>
      </c>
      <c r="O479" t="s">
        <v>165</v>
      </c>
      <c r="P479" t="s">
        <v>156</v>
      </c>
      <c r="Q479" t="s">
        <v>21</v>
      </c>
    </row>
    <row r="480" spans="1:17" x14ac:dyDescent="0.25">
      <c r="A480" t="s">
        <v>928</v>
      </c>
      <c r="B480" t="s">
        <v>207</v>
      </c>
      <c r="C480" t="s">
        <v>168</v>
      </c>
      <c r="D480" s="8">
        <v>46148</v>
      </c>
      <c r="E480" t="s">
        <v>26</v>
      </c>
      <c r="F480" t="s">
        <v>31</v>
      </c>
      <c r="G480" t="s">
        <v>31</v>
      </c>
      <c r="H480" t="s">
        <v>28</v>
      </c>
      <c r="I480" t="s">
        <v>147</v>
      </c>
      <c r="J480" t="s">
        <v>29</v>
      </c>
      <c r="K480">
        <v>2</v>
      </c>
      <c r="L480">
        <v>228117</v>
      </c>
      <c r="M480">
        <v>25000</v>
      </c>
      <c r="N480" t="s">
        <v>137</v>
      </c>
      <c r="O480" t="s">
        <v>149</v>
      </c>
      <c r="P480" t="s">
        <v>139</v>
      </c>
      <c r="Q480" t="s">
        <v>21</v>
      </c>
    </row>
    <row r="481" spans="1:17" x14ac:dyDescent="0.25">
      <c r="A481" t="s">
        <v>929</v>
      </c>
      <c r="B481" t="s">
        <v>403</v>
      </c>
      <c r="C481" t="s">
        <v>404</v>
      </c>
      <c r="D481" s="8">
        <v>46051</v>
      </c>
      <c r="E481" t="s">
        <v>116</v>
      </c>
      <c r="F481" t="s">
        <v>18</v>
      </c>
      <c r="G481" t="s">
        <v>18</v>
      </c>
      <c r="H481" t="s">
        <v>1315</v>
      </c>
      <c r="I481" t="s">
        <v>169</v>
      </c>
      <c r="J481" t="s">
        <v>20</v>
      </c>
      <c r="K481">
        <v>4</v>
      </c>
      <c r="L481">
        <v>623067</v>
      </c>
      <c r="M481">
        <v>35000</v>
      </c>
      <c r="N481" t="s">
        <v>137</v>
      </c>
      <c r="O481" t="s">
        <v>161</v>
      </c>
      <c r="P481" t="s">
        <v>139</v>
      </c>
      <c r="Q481" t="s">
        <v>21</v>
      </c>
    </row>
    <row r="482" spans="1:17" x14ac:dyDescent="0.25">
      <c r="A482" t="s">
        <v>930</v>
      </c>
      <c r="B482" t="s">
        <v>746</v>
      </c>
      <c r="C482" t="s">
        <v>192</v>
      </c>
      <c r="D482" s="8">
        <v>46043</v>
      </c>
      <c r="E482" t="s">
        <v>116</v>
      </c>
      <c r="F482" t="s">
        <v>31</v>
      </c>
      <c r="G482" t="s">
        <v>31</v>
      </c>
      <c r="H482" t="s">
        <v>160</v>
      </c>
      <c r="I482" t="s">
        <v>169</v>
      </c>
      <c r="J482" t="s">
        <v>25</v>
      </c>
      <c r="K482">
        <v>3</v>
      </c>
      <c r="L482">
        <v>1052988</v>
      </c>
      <c r="M482">
        <v>0</v>
      </c>
      <c r="N482" t="s">
        <v>137</v>
      </c>
      <c r="O482" t="s">
        <v>161</v>
      </c>
      <c r="P482" t="s">
        <v>156</v>
      </c>
      <c r="Q482" t="s">
        <v>1318</v>
      </c>
    </row>
    <row r="483" spans="1:17" x14ac:dyDescent="0.25">
      <c r="A483" t="s">
        <v>931</v>
      </c>
      <c r="B483" t="s">
        <v>509</v>
      </c>
      <c r="C483" t="s">
        <v>297</v>
      </c>
      <c r="D483" s="8">
        <v>46048</v>
      </c>
      <c r="E483" t="s">
        <v>116</v>
      </c>
      <c r="F483" t="s">
        <v>23</v>
      </c>
      <c r="G483" t="s">
        <v>23</v>
      </c>
      <c r="H483" t="s">
        <v>160</v>
      </c>
      <c r="I483" t="s">
        <v>177</v>
      </c>
      <c r="J483" t="s">
        <v>29</v>
      </c>
      <c r="K483">
        <v>2</v>
      </c>
      <c r="L483">
        <v>2306477</v>
      </c>
      <c r="M483">
        <v>25000</v>
      </c>
      <c r="N483" t="s">
        <v>148</v>
      </c>
      <c r="O483" t="s">
        <v>149</v>
      </c>
      <c r="P483" t="s">
        <v>139</v>
      </c>
      <c r="Q483" t="s">
        <v>21</v>
      </c>
    </row>
    <row r="484" spans="1:17" x14ac:dyDescent="0.25">
      <c r="A484" t="s">
        <v>932</v>
      </c>
      <c r="B484" t="s">
        <v>356</v>
      </c>
      <c r="C484" t="s">
        <v>357</v>
      </c>
      <c r="D484" s="8">
        <v>46079</v>
      </c>
      <c r="E484" t="s">
        <v>114</v>
      </c>
      <c r="F484" t="s">
        <v>31</v>
      </c>
      <c r="G484" t="s">
        <v>31</v>
      </c>
      <c r="H484" t="s">
        <v>1315</v>
      </c>
      <c r="I484" t="s">
        <v>177</v>
      </c>
      <c r="J484" t="s">
        <v>29</v>
      </c>
      <c r="K484">
        <v>4</v>
      </c>
      <c r="L484">
        <v>940734</v>
      </c>
      <c r="M484">
        <v>25000</v>
      </c>
      <c r="N484" t="s">
        <v>137</v>
      </c>
      <c r="O484" t="s">
        <v>165</v>
      </c>
      <c r="P484" t="s">
        <v>156</v>
      </c>
      <c r="Q484" t="s">
        <v>21</v>
      </c>
    </row>
    <row r="485" spans="1:17" x14ac:dyDescent="0.25">
      <c r="A485" t="s">
        <v>933</v>
      </c>
      <c r="B485" t="s">
        <v>934</v>
      </c>
      <c r="C485" t="s">
        <v>380</v>
      </c>
      <c r="D485" s="8">
        <v>46077</v>
      </c>
      <c r="E485" t="s">
        <v>114</v>
      </c>
      <c r="F485" t="s">
        <v>118</v>
      </c>
      <c r="G485" t="s">
        <v>18</v>
      </c>
      <c r="H485" t="s">
        <v>160</v>
      </c>
      <c r="I485" t="s">
        <v>39</v>
      </c>
      <c r="J485" t="s">
        <v>25</v>
      </c>
      <c r="K485">
        <v>1</v>
      </c>
      <c r="L485">
        <v>133412</v>
      </c>
      <c r="M485">
        <v>35000</v>
      </c>
      <c r="N485" t="s">
        <v>137</v>
      </c>
      <c r="O485" t="s">
        <v>138</v>
      </c>
      <c r="P485" t="s">
        <v>139</v>
      </c>
      <c r="Q485" t="s">
        <v>21</v>
      </c>
    </row>
    <row r="486" spans="1:17" x14ac:dyDescent="0.25">
      <c r="A486" t="s">
        <v>935</v>
      </c>
      <c r="B486" t="s">
        <v>434</v>
      </c>
      <c r="C486" t="s">
        <v>435</v>
      </c>
      <c r="D486" s="8">
        <v>46172</v>
      </c>
      <c r="E486" t="s">
        <v>26</v>
      </c>
      <c r="F486" t="s">
        <v>34</v>
      </c>
      <c r="G486" t="s">
        <v>34</v>
      </c>
      <c r="H486" t="s">
        <v>143</v>
      </c>
      <c r="I486" t="s">
        <v>136</v>
      </c>
      <c r="J486" t="s">
        <v>32</v>
      </c>
      <c r="K486">
        <v>4</v>
      </c>
      <c r="L486">
        <v>1104469</v>
      </c>
      <c r="M486">
        <v>25000</v>
      </c>
      <c r="N486" t="s">
        <v>137</v>
      </c>
      <c r="O486" t="s">
        <v>149</v>
      </c>
      <c r="P486" t="s">
        <v>139</v>
      </c>
      <c r="Q486" t="s">
        <v>21</v>
      </c>
    </row>
    <row r="487" spans="1:17" x14ac:dyDescent="0.25">
      <c r="A487" t="s">
        <v>936</v>
      </c>
      <c r="B487" t="s">
        <v>519</v>
      </c>
      <c r="C487" t="s">
        <v>240</v>
      </c>
      <c r="D487" s="8">
        <v>46184</v>
      </c>
      <c r="E487" t="s">
        <v>113</v>
      </c>
      <c r="F487" t="s">
        <v>18</v>
      </c>
      <c r="G487" t="s">
        <v>18</v>
      </c>
      <c r="H487" t="s">
        <v>160</v>
      </c>
      <c r="I487" t="s">
        <v>136</v>
      </c>
      <c r="J487" t="s">
        <v>32</v>
      </c>
      <c r="K487">
        <v>3</v>
      </c>
      <c r="L487">
        <v>1765048</v>
      </c>
      <c r="M487">
        <v>50000</v>
      </c>
      <c r="N487" t="s">
        <v>137</v>
      </c>
      <c r="O487" t="s">
        <v>161</v>
      </c>
      <c r="P487" t="s">
        <v>139</v>
      </c>
      <c r="Q487" t="s">
        <v>21</v>
      </c>
    </row>
    <row r="488" spans="1:17" x14ac:dyDescent="0.25">
      <c r="A488" t="s">
        <v>937</v>
      </c>
      <c r="B488" t="s">
        <v>650</v>
      </c>
      <c r="C488" t="s">
        <v>435</v>
      </c>
      <c r="D488" s="8">
        <v>46086</v>
      </c>
      <c r="E488" t="s">
        <v>115</v>
      </c>
      <c r="F488" t="s">
        <v>23</v>
      </c>
      <c r="G488" t="s">
        <v>23</v>
      </c>
      <c r="H488" t="s">
        <v>1315</v>
      </c>
      <c r="I488" t="s">
        <v>169</v>
      </c>
      <c r="J488" t="s">
        <v>32</v>
      </c>
      <c r="K488">
        <v>2</v>
      </c>
      <c r="L488">
        <v>1902014</v>
      </c>
      <c r="M488">
        <v>0</v>
      </c>
      <c r="N488" t="s">
        <v>137</v>
      </c>
      <c r="O488" t="s">
        <v>161</v>
      </c>
      <c r="P488" t="s">
        <v>156</v>
      </c>
      <c r="Q488" t="s">
        <v>1318</v>
      </c>
    </row>
    <row r="489" spans="1:17" x14ac:dyDescent="0.25">
      <c r="A489" t="s">
        <v>938</v>
      </c>
      <c r="B489" t="s">
        <v>939</v>
      </c>
      <c r="C489" t="s">
        <v>261</v>
      </c>
      <c r="D489" s="8">
        <v>46146</v>
      </c>
      <c r="E489" t="s">
        <v>26</v>
      </c>
      <c r="F489" t="s">
        <v>34</v>
      </c>
      <c r="G489" t="s">
        <v>34</v>
      </c>
      <c r="H489" t="s">
        <v>143</v>
      </c>
      <c r="I489" t="s">
        <v>39</v>
      </c>
      <c r="J489" t="s">
        <v>20</v>
      </c>
      <c r="K489">
        <v>4</v>
      </c>
      <c r="L489">
        <v>2171746</v>
      </c>
      <c r="M489">
        <v>50000</v>
      </c>
      <c r="N489" t="s">
        <v>137</v>
      </c>
      <c r="O489" t="s">
        <v>161</v>
      </c>
      <c r="P489" t="s">
        <v>139</v>
      </c>
      <c r="Q489" t="s">
        <v>21</v>
      </c>
    </row>
    <row r="490" spans="1:17" x14ac:dyDescent="0.25">
      <c r="A490" t="s">
        <v>940</v>
      </c>
      <c r="B490" t="s">
        <v>941</v>
      </c>
      <c r="C490" t="s">
        <v>281</v>
      </c>
      <c r="D490" s="8">
        <v>46195</v>
      </c>
      <c r="E490" t="s">
        <v>113</v>
      </c>
      <c r="F490" t="s">
        <v>23</v>
      </c>
      <c r="G490" t="s">
        <v>23</v>
      </c>
      <c r="H490" t="s">
        <v>1315</v>
      </c>
      <c r="I490" t="s">
        <v>39</v>
      </c>
      <c r="J490" t="s">
        <v>29</v>
      </c>
      <c r="K490">
        <v>4</v>
      </c>
      <c r="L490">
        <v>1452187</v>
      </c>
      <c r="M490">
        <v>35000</v>
      </c>
      <c r="N490" t="s">
        <v>148</v>
      </c>
      <c r="O490" t="s">
        <v>138</v>
      </c>
      <c r="P490" t="s">
        <v>139</v>
      </c>
      <c r="Q490" t="s">
        <v>21</v>
      </c>
    </row>
    <row r="491" spans="1:17" x14ac:dyDescent="0.25">
      <c r="A491" t="s">
        <v>942</v>
      </c>
      <c r="B491" t="s">
        <v>943</v>
      </c>
      <c r="C491" t="s">
        <v>435</v>
      </c>
      <c r="D491" s="8">
        <v>46034</v>
      </c>
      <c r="E491" t="s">
        <v>116</v>
      </c>
      <c r="F491" t="s">
        <v>27</v>
      </c>
      <c r="G491" t="s">
        <v>27</v>
      </c>
      <c r="H491" t="s">
        <v>143</v>
      </c>
      <c r="I491" t="s">
        <v>169</v>
      </c>
      <c r="J491" t="s">
        <v>20</v>
      </c>
      <c r="L491" t="s">
        <v>944</v>
      </c>
      <c r="M491">
        <v>35000</v>
      </c>
      <c r="N491" t="s">
        <v>137</v>
      </c>
      <c r="O491" t="s">
        <v>165</v>
      </c>
      <c r="P491" t="s">
        <v>139</v>
      </c>
      <c r="Q491" t="s">
        <v>1319</v>
      </c>
    </row>
    <row r="492" spans="1:17" x14ac:dyDescent="0.25">
      <c r="A492" t="s">
        <v>945</v>
      </c>
      <c r="B492" t="s">
        <v>869</v>
      </c>
      <c r="C492" t="s">
        <v>446</v>
      </c>
      <c r="D492" s="8">
        <v>46177</v>
      </c>
      <c r="E492" t="s">
        <v>113</v>
      </c>
      <c r="F492" t="s">
        <v>34</v>
      </c>
      <c r="G492" t="s">
        <v>34</v>
      </c>
      <c r="H492" t="s">
        <v>1315</v>
      </c>
      <c r="I492" t="s">
        <v>147</v>
      </c>
      <c r="J492" t="s">
        <v>20</v>
      </c>
      <c r="K492">
        <v>6</v>
      </c>
      <c r="L492">
        <v>2383948</v>
      </c>
      <c r="M492">
        <v>0</v>
      </c>
      <c r="N492" t="s">
        <v>137</v>
      </c>
      <c r="O492" t="s">
        <v>138</v>
      </c>
      <c r="P492" t="s">
        <v>156</v>
      </c>
      <c r="Q492" t="s">
        <v>1318</v>
      </c>
    </row>
    <row r="493" spans="1:17" x14ac:dyDescent="0.25">
      <c r="A493" t="s">
        <v>946</v>
      </c>
      <c r="B493" t="s">
        <v>934</v>
      </c>
      <c r="C493" t="s">
        <v>380</v>
      </c>
      <c r="D493" s="8">
        <v>46076</v>
      </c>
      <c r="E493" t="s">
        <v>114</v>
      </c>
      <c r="F493" t="s">
        <v>18</v>
      </c>
      <c r="G493" t="s">
        <v>18</v>
      </c>
      <c r="H493" t="s">
        <v>1315</v>
      </c>
      <c r="I493" t="s">
        <v>177</v>
      </c>
      <c r="J493" t="s">
        <v>25</v>
      </c>
      <c r="K493">
        <v>2</v>
      </c>
      <c r="L493">
        <v>1638748</v>
      </c>
      <c r="M493">
        <v>50000</v>
      </c>
      <c r="N493" t="s">
        <v>37</v>
      </c>
      <c r="O493" t="s">
        <v>165</v>
      </c>
      <c r="P493" t="s">
        <v>139</v>
      </c>
      <c r="Q493" t="s">
        <v>21</v>
      </c>
    </row>
    <row r="494" spans="1:17" x14ac:dyDescent="0.25">
      <c r="A494" t="s">
        <v>947</v>
      </c>
      <c r="B494" t="s">
        <v>191</v>
      </c>
      <c r="C494" t="s">
        <v>192</v>
      </c>
      <c r="D494" s="8">
        <v>46078</v>
      </c>
      <c r="E494" t="s">
        <v>114</v>
      </c>
      <c r="F494" t="s">
        <v>27</v>
      </c>
      <c r="G494" t="s">
        <v>27</v>
      </c>
      <c r="H494" t="s">
        <v>160</v>
      </c>
      <c r="I494" t="s">
        <v>147</v>
      </c>
      <c r="J494" t="s">
        <v>32</v>
      </c>
      <c r="K494">
        <v>1</v>
      </c>
      <c r="L494">
        <v>2439245</v>
      </c>
      <c r="M494">
        <v>15000</v>
      </c>
      <c r="N494" t="s">
        <v>137</v>
      </c>
      <c r="O494" t="s">
        <v>161</v>
      </c>
      <c r="P494" t="s">
        <v>139</v>
      </c>
      <c r="Q494" t="s">
        <v>21</v>
      </c>
    </row>
    <row r="495" spans="1:17" x14ac:dyDescent="0.25">
      <c r="A495" t="s">
        <v>948</v>
      </c>
      <c r="B495" t="s">
        <v>398</v>
      </c>
      <c r="C495" t="s">
        <v>399</v>
      </c>
      <c r="D495" s="8">
        <v>46063</v>
      </c>
      <c r="E495" t="s">
        <v>114</v>
      </c>
      <c r="F495" t="s">
        <v>18</v>
      </c>
      <c r="G495" t="s">
        <v>18</v>
      </c>
      <c r="H495" t="s">
        <v>160</v>
      </c>
      <c r="I495" t="s">
        <v>136</v>
      </c>
      <c r="J495" t="s">
        <v>20</v>
      </c>
      <c r="K495">
        <v>1</v>
      </c>
      <c r="L495">
        <v>1307364</v>
      </c>
      <c r="M495">
        <v>25000</v>
      </c>
      <c r="N495" t="s">
        <v>137</v>
      </c>
      <c r="O495" t="s">
        <v>165</v>
      </c>
      <c r="P495" t="s">
        <v>139</v>
      </c>
      <c r="Q495" t="s">
        <v>21</v>
      </c>
    </row>
    <row r="496" spans="1:17" x14ac:dyDescent="0.25">
      <c r="A496" t="s">
        <v>949</v>
      </c>
      <c r="B496" t="s">
        <v>642</v>
      </c>
      <c r="C496" t="s">
        <v>272</v>
      </c>
      <c r="D496" s="8">
        <v>46125</v>
      </c>
      <c r="E496" t="s">
        <v>117</v>
      </c>
      <c r="F496" t="s">
        <v>31</v>
      </c>
      <c r="G496" t="s">
        <v>31</v>
      </c>
      <c r="H496" t="s">
        <v>160</v>
      </c>
      <c r="I496" t="s">
        <v>173</v>
      </c>
      <c r="J496" t="s">
        <v>35</v>
      </c>
      <c r="K496">
        <v>7</v>
      </c>
      <c r="L496">
        <v>670264</v>
      </c>
      <c r="M496">
        <v>25000</v>
      </c>
      <c r="N496" t="s">
        <v>137</v>
      </c>
      <c r="O496" t="s">
        <v>161</v>
      </c>
      <c r="P496" t="s">
        <v>156</v>
      </c>
      <c r="Q496" t="s">
        <v>21</v>
      </c>
    </row>
    <row r="497" spans="1:17" x14ac:dyDescent="0.25">
      <c r="A497" t="s">
        <v>950</v>
      </c>
      <c r="B497" t="s">
        <v>951</v>
      </c>
      <c r="C497" t="s">
        <v>762</v>
      </c>
      <c r="D497" s="8">
        <v>46173</v>
      </c>
      <c r="E497" t="s">
        <v>26</v>
      </c>
      <c r="F497" t="s">
        <v>34</v>
      </c>
      <c r="G497" t="s">
        <v>34</v>
      </c>
      <c r="H497" t="s">
        <v>28</v>
      </c>
      <c r="I497" t="s">
        <v>147</v>
      </c>
      <c r="J497" t="s">
        <v>20</v>
      </c>
      <c r="K497">
        <v>7</v>
      </c>
      <c r="L497">
        <v>1760492</v>
      </c>
      <c r="M497">
        <v>15000</v>
      </c>
      <c r="N497" t="s">
        <v>137</v>
      </c>
      <c r="O497" t="s">
        <v>199</v>
      </c>
      <c r="P497" t="s">
        <v>139</v>
      </c>
      <c r="Q497" t="s">
        <v>21</v>
      </c>
    </row>
    <row r="498" spans="1:17" x14ac:dyDescent="0.25">
      <c r="A498" t="s">
        <v>952</v>
      </c>
      <c r="B498" t="s">
        <v>182</v>
      </c>
      <c r="C498" t="s">
        <v>183</v>
      </c>
      <c r="D498" s="8">
        <v>46140</v>
      </c>
      <c r="E498" t="s">
        <v>117</v>
      </c>
      <c r="F498" t="s">
        <v>31</v>
      </c>
      <c r="G498" t="s">
        <v>31</v>
      </c>
      <c r="H498" t="s">
        <v>160</v>
      </c>
      <c r="I498" t="s">
        <v>177</v>
      </c>
      <c r="J498" t="s">
        <v>32</v>
      </c>
      <c r="K498">
        <v>3</v>
      </c>
      <c r="L498">
        <v>970045</v>
      </c>
      <c r="M498">
        <v>0</v>
      </c>
      <c r="N498" t="s">
        <v>37</v>
      </c>
      <c r="O498" t="s">
        <v>165</v>
      </c>
      <c r="P498" t="s">
        <v>139</v>
      </c>
      <c r="Q498" t="s">
        <v>1318</v>
      </c>
    </row>
    <row r="499" spans="1:17" x14ac:dyDescent="0.25">
      <c r="A499" t="s">
        <v>953</v>
      </c>
      <c r="B499" t="s">
        <v>530</v>
      </c>
      <c r="C499" t="s">
        <v>399</v>
      </c>
      <c r="D499" s="8">
        <v>46095</v>
      </c>
      <c r="E499" t="s">
        <v>115</v>
      </c>
      <c r="F499" t="s">
        <v>31</v>
      </c>
      <c r="G499" t="s">
        <v>31</v>
      </c>
      <c r="H499" t="s">
        <v>1315</v>
      </c>
      <c r="I499" t="s">
        <v>147</v>
      </c>
      <c r="J499" t="s">
        <v>20</v>
      </c>
      <c r="K499">
        <v>2</v>
      </c>
      <c r="L499">
        <v>2356419</v>
      </c>
      <c r="M499">
        <v>50000</v>
      </c>
      <c r="N499" t="s">
        <v>137</v>
      </c>
      <c r="O499" t="s">
        <v>149</v>
      </c>
      <c r="P499" t="s">
        <v>139</v>
      </c>
      <c r="Q499" t="s">
        <v>21</v>
      </c>
    </row>
    <row r="500" spans="1:17" x14ac:dyDescent="0.25">
      <c r="A500" t="s">
        <v>954</v>
      </c>
      <c r="B500" t="s">
        <v>722</v>
      </c>
      <c r="C500" t="s">
        <v>172</v>
      </c>
      <c r="D500" s="8">
        <v>25569</v>
      </c>
      <c r="E500" t="s">
        <v>116</v>
      </c>
      <c r="F500" t="s">
        <v>27</v>
      </c>
      <c r="G500" t="s">
        <v>27</v>
      </c>
      <c r="H500" t="s">
        <v>160</v>
      </c>
      <c r="I500" t="s">
        <v>169</v>
      </c>
      <c r="J500" t="s">
        <v>25</v>
      </c>
      <c r="K500">
        <v>7</v>
      </c>
      <c r="L500">
        <v>224404</v>
      </c>
      <c r="M500">
        <v>35000</v>
      </c>
      <c r="N500" t="s">
        <v>137</v>
      </c>
      <c r="O500" t="s">
        <v>138</v>
      </c>
      <c r="P500" t="s">
        <v>139</v>
      </c>
      <c r="Q500" t="s">
        <v>121</v>
      </c>
    </row>
    <row r="501" spans="1:17" x14ac:dyDescent="0.25">
      <c r="A501" t="s">
        <v>955</v>
      </c>
      <c r="B501" t="s">
        <v>225</v>
      </c>
      <c r="C501" t="s">
        <v>226</v>
      </c>
      <c r="D501" s="8">
        <v>46184</v>
      </c>
      <c r="E501" t="s">
        <v>113</v>
      </c>
      <c r="F501" t="s">
        <v>31</v>
      </c>
      <c r="G501" t="s">
        <v>31</v>
      </c>
      <c r="H501" t="s">
        <v>143</v>
      </c>
      <c r="I501" t="s">
        <v>173</v>
      </c>
      <c r="J501" t="s">
        <v>29</v>
      </c>
      <c r="K501">
        <v>5</v>
      </c>
      <c r="L501">
        <v>470788</v>
      </c>
      <c r="M501">
        <v>0</v>
      </c>
      <c r="N501" t="s">
        <v>137</v>
      </c>
      <c r="O501" t="s">
        <v>165</v>
      </c>
      <c r="P501" t="s">
        <v>139</v>
      </c>
      <c r="Q501" t="s">
        <v>1318</v>
      </c>
    </row>
    <row r="502" spans="1:17" x14ac:dyDescent="0.25">
      <c r="A502" t="s">
        <v>956</v>
      </c>
      <c r="B502" t="s">
        <v>777</v>
      </c>
      <c r="C502" t="s">
        <v>246</v>
      </c>
      <c r="D502" s="8">
        <v>46144</v>
      </c>
      <c r="E502" t="s">
        <v>26</v>
      </c>
      <c r="F502" t="s">
        <v>34</v>
      </c>
      <c r="G502" t="s">
        <v>34</v>
      </c>
      <c r="H502" t="s">
        <v>28</v>
      </c>
      <c r="I502" t="s">
        <v>136</v>
      </c>
      <c r="J502" t="s">
        <v>25</v>
      </c>
      <c r="K502">
        <v>7</v>
      </c>
      <c r="L502">
        <v>2315322</v>
      </c>
      <c r="M502">
        <v>50000</v>
      </c>
      <c r="N502" t="s">
        <v>214</v>
      </c>
      <c r="O502" t="s">
        <v>138</v>
      </c>
      <c r="P502" t="s">
        <v>156</v>
      </c>
      <c r="Q502" t="s">
        <v>21</v>
      </c>
    </row>
    <row r="503" spans="1:17" x14ac:dyDescent="0.25">
      <c r="A503" t="s">
        <v>957</v>
      </c>
      <c r="B503" t="s">
        <v>421</v>
      </c>
      <c r="C503" t="s">
        <v>340</v>
      </c>
      <c r="D503" s="8">
        <v>46105</v>
      </c>
      <c r="E503" t="s">
        <v>115</v>
      </c>
      <c r="F503" t="s">
        <v>27</v>
      </c>
      <c r="G503" t="s">
        <v>27</v>
      </c>
      <c r="H503" t="s">
        <v>28</v>
      </c>
      <c r="I503" t="s">
        <v>147</v>
      </c>
      <c r="J503" t="s">
        <v>32</v>
      </c>
      <c r="K503">
        <v>4</v>
      </c>
      <c r="L503">
        <v>2491091</v>
      </c>
      <c r="M503">
        <v>50000</v>
      </c>
      <c r="N503" t="s">
        <v>148</v>
      </c>
      <c r="O503" t="s">
        <v>138</v>
      </c>
      <c r="P503" t="s">
        <v>139</v>
      </c>
      <c r="Q503" t="s">
        <v>21</v>
      </c>
    </row>
    <row r="504" spans="1:17" x14ac:dyDescent="0.25">
      <c r="A504" t="s">
        <v>958</v>
      </c>
      <c r="B504" t="s">
        <v>959</v>
      </c>
      <c r="C504" t="s">
        <v>679</v>
      </c>
      <c r="D504" s="8">
        <v>46083</v>
      </c>
      <c r="E504" t="s">
        <v>115</v>
      </c>
      <c r="F504" t="s">
        <v>23</v>
      </c>
      <c r="G504" t="s">
        <v>23</v>
      </c>
      <c r="H504" t="s">
        <v>160</v>
      </c>
      <c r="I504" t="s">
        <v>39</v>
      </c>
      <c r="J504" t="s">
        <v>20</v>
      </c>
      <c r="K504">
        <v>6</v>
      </c>
      <c r="L504">
        <v>1469886</v>
      </c>
      <c r="M504">
        <v>35000</v>
      </c>
      <c r="N504" t="s">
        <v>137</v>
      </c>
      <c r="O504" t="s">
        <v>138</v>
      </c>
      <c r="P504" t="s">
        <v>139</v>
      </c>
      <c r="Q504" t="s">
        <v>21</v>
      </c>
    </row>
    <row r="505" spans="1:17" x14ac:dyDescent="0.25">
      <c r="A505" t="s">
        <v>960</v>
      </c>
      <c r="B505" t="s">
        <v>141</v>
      </c>
      <c r="C505" t="s">
        <v>142</v>
      </c>
      <c r="D505" s="8">
        <v>46026</v>
      </c>
      <c r="E505" t="s">
        <v>116</v>
      </c>
      <c r="F505" t="s">
        <v>23</v>
      </c>
      <c r="G505" t="s">
        <v>23</v>
      </c>
      <c r="H505" t="s">
        <v>160</v>
      </c>
      <c r="I505" t="s">
        <v>39</v>
      </c>
      <c r="J505" t="s">
        <v>32</v>
      </c>
      <c r="K505">
        <v>6</v>
      </c>
      <c r="L505">
        <v>799867</v>
      </c>
      <c r="M505">
        <v>50000</v>
      </c>
      <c r="N505" t="s">
        <v>137</v>
      </c>
      <c r="O505" t="s">
        <v>161</v>
      </c>
      <c r="P505" t="s">
        <v>156</v>
      </c>
      <c r="Q505" t="s">
        <v>21</v>
      </c>
    </row>
    <row r="506" spans="1:17" x14ac:dyDescent="0.25">
      <c r="A506" t="s">
        <v>961</v>
      </c>
      <c r="B506" t="s">
        <v>962</v>
      </c>
      <c r="C506" t="s">
        <v>17</v>
      </c>
      <c r="D506" s="8">
        <v>46157</v>
      </c>
      <c r="E506" t="s">
        <v>26</v>
      </c>
      <c r="F506" t="s">
        <v>23</v>
      </c>
      <c r="G506" t="s">
        <v>23</v>
      </c>
      <c r="H506" t="s">
        <v>28</v>
      </c>
      <c r="I506" t="s">
        <v>136</v>
      </c>
      <c r="J506" t="s">
        <v>25</v>
      </c>
      <c r="K506">
        <v>6</v>
      </c>
      <c r="L506">
        <v>2163437</v>
      </c>
      <c r="M506">
        <v>15000</v>
      </c>
      <c r="N506" t="s">
        <v>148</v>
      </c>
      <c r="O506" t="s">
        <v>161</v>
      </c>
      <c r="P506" t="s">
        <v>139</v>
      </c>
      <c r="Q506" t="s">
        <v>21</v>
      </c>
    </row>
    <row r="507" spans="1:17" x14ac:dyDescent="0.25">
      <c r="A507" t="s">
        <v>963</v>
      </c>
      <c r="B507" t="s">
        <v>777</v>
      </c>
      <c r="C507" t="s">
        <v>246</v>
      </c>
      <c r="D507" s="8">
        <v>46118</v>
      </c>
      <c r="E507" t="s">
        <v>117</v>
      </c>
      <c r="F507" t="s">
        <v>27</v>
      </c>
      <c r="G507" t="s">
        <v>27</v>
      </c>
      <c r="H507" t="s">
        <v>1315</v>
      </c>
      <c r="I507" t="s">
        <v>147</v>
      </c>
      <c r="J507" t="s">
        <v>35</v>
      </c>
      <c r="K507">
        <v>2</v>
      </c>
      <c r="L507">
        <v>2484792</v>
      </c>
      <c r="M507">
        <v>15000</v>
      </c>
      <c r="N507" t="s">
        <v>137</v>
      </c>
      <c r="O507" t="s">
        <v>138</v>
      </c>
      <c r="P507" t="s">
        <v>139</v>
      </c>
      <c r="Q507" t="s">
        <v>21</v>
      </c>
    </row>
    <row r="508" spans="1:17" x14ac:dyDescent="0.25">
      <c r="A508" t="s">
        <v>964</v>
      </c>
      <c r="B508" t="s">
        <v>257</v>
      </c>
      <c r="C508" t="s">
        <v>258</v>
      </c>
      <c r="D508" s="8">
        <v>46141</v>
      </c>
      <c r="E508" t="s">
        <v>117</v>
      </c>
      <c r="F508" t="s">
        <v>18</v>
      </c>
      <c r="G508" t="s">
        <v>18</v>
      </c>
      <c r="H508" t="s">
        <v>143</v>
      </c>
      <c r="I508" t="s">
        <v>147</v>
      </c>
      <c r="J508" t="s">
        <v>32</v>
      </c>
      <c r="K508">
        <v>6</v>
      </c>
      <c r="L508">
        <v>1003392</v>
      </c>
      <c r="M508">
        <v>25000</v>
      </c>
      <c r="N508" t="s">
        <v>137</v>
      </c>
      <c r="O508" t="s">
        <v>165</v>
      </c>
      <c r="P508" t="s">
        <v>156</v>
      </c>
      <c r="Q508" t="s">
        <v>21</v>
      </c>
    </row>
    <row r="509" spans="1:17" x14ac:dyDescent="0.25">
      <c r="A509" t="s">
        <v>965</v>
      </c>
      <c r="B509" t="s">
        <v>201</v>
      </c>
      <c r="C509" t="s">
        <v>202</v>
      </c>
      <c r="D509" s="8">
        <v>46129</v>
      </c>
      <c r="E509" t="s">
        <v>117</v>
      </c>
      <c r="F509" t="s">
        <v>34</v>
      </c>
      <c r="G509" t="s">
        <v>34</v>
      </c>
      <c r="H509" t="s">
        <v>143</v>
      </c>
      <c r="I509" t="s">
        <v>177</v>
      </c>
      <c r="J509" t="s">
        <v>20</v>
      </c>
      <c r="K509">
        <v>4</v>
      </c>
      <c r="L509">
        <v>871727</v>
      </c>
      <c r="M509">
        <v>15000</v>
      </c>
      <c r="N509" t="s">
        <v>137</v>
      </c>
      <c r="O509" t="s">
        <v>149</v>
      </c>
      <c r="P509" t="s">
        <v>139</v>
      </c>
      <c r="Q509" t="s">
        <v>21</v>
      </c>
    </row>
    <row r="510" spans="1:17" x14ac:dyDescent="0.25">
      <c r="A510" t="s">
        <v>966</v>
      </c>
      <c r="B510" t="s">
        <v>387</v>
      </c>
      <c r="C510" t="s">
        <v>301</v>
      </c>
      <c r="D510" s="8">
        <v>46047</v>
      </c>
      <c r="E510" t="s">
        <v>116</v>
      </c>
      <c r="F510" t="s">
        <v>27</v>
      </c>
      <c r="G510" t="s">
        <v>27</v>
      </c>
      <c r="H510" t="s">
        <v>143</v>
      </c>
      <c r="I510" t="s">
        <v>136</v>
      </c>
      <c r="J510" t="s">
        <v>20</v>
      </c>
      <c r="K510">
        <v>4</v>
      </c>
      <c r="L510">
        <v>376304</v>
      </c>
      <c r="M510">
        <v>50000</v>
      </c>
      <c r="N510" t="s">
        <v>137</v>
      </c>
      <c r="O510" t="s">
        <v>161</v>
      </c>
      <c r="P510" t="s">
        <v>156</v>
      </c>
      <c r="Q510" t="s">
        <v>21</v>
      </c>
    </row>
    <row r="511" spans="1:17" x14ac:dyDescent="0.25">
      <c r="A511" t="s">
        <v>967</v>
      </c>
      <c r="B511" t="s">
        <v>182</v>
      </c>
      <c r="C511" t="s">
        <v>183</v>
      </c>
      <c r="D511" s="8">
        <v>46095</v>
      </c>
      <c r="E511" t="s">
        <v>115</v>
      </c>
      <c r="F511" t="s">
        <v>31</v>
      </c>
      <c r="G511" t="s">
        <v>31</v>
      </c>
      <c r="H511" t="s">
        <v>1315</v>
      </c>
      <c r="I511" t="s">
        <v>147</v>
      </c>
      <c r="J511" t="s">
        <v>35</v>
      </c>
      <c r="K511">
        <v>6</v>
      </c>
      <c r="L511">
        <v>1907468</v>
      </c>
      <c r="M511">
        <v>50000</v>
      </c>
      <c r="N511" t="s">
        <v>137</v>
      </c>
      <c r="O511" t="s">
        <v>138</v>
      </c>
      <c r="P511" t="s">
        <v>156</v>
      </c>
      <c r="Q511" t="s">
        <v>21</v>
      </c>
    </row>
    <row r="512" spans="1:17" x14ac:dyDescent="0.25">
      <c r="A512" t="s">
        <v>968</v>
      </c>
      <c r="B512" t="s">
        <v>512</v>
      </c>
      <c r="C512" t="s">
        <v>246</v>
      </c>
      <c r="D512" s="8">
        <v>46174</v>
      </c>
      <c r="E512" t="s">
        <v>113</v>
      </c>
      <c r="F512" t="s">
        <v>27</v>
      </c>
      <c r="G512" t="s">
        <v>27</v>
      </c>
      <c r="H512" t="s">
        <v>160</v>
      </c>
      <c r="I512" t="s">
        <v>177</v>
      </c>
      <c r="J512" t="s">
        <v>35</v>
      </c>
      <c r="K512">
        <v>6</v>
      </c>
      <c r="L512">
        <v>759303</v>
      </c>
      <c r="M512">
        <v>0</v>
      </c>
      <c r="N512" t="s">
        <v>137</v>
      </c>
      <c r="O512" t="s">
        <v>161</v>
      </c>
      <c r="P512" t="s">
        <v>139</v>
      </c>
      <c r="Q512" t="s">
        <v>1318</v>
      </c>
    </row>
    <row r="513" spans="1:17" x14ac:dyDescent="0.25">
      <c r="A513" t="s">
        <v>969</v>
      </c>
      <c r="B513" t="s">
        <v>387</v>
      </c>
      <c r="C513" t="s">
        <v>301</v>
      </c>
      <c r="D513" s="8">
        <v>46170</v>
      </c>
      <c r="E513" t="s">
        <v>26</v>
      </c>
      <c r="F513" t="s">
        <v>23</v>
      </c>
      <c r="G513" t="s">
        <v>23</v>
      </c>
      <c r="H513" t="s">
        <v>143</v>
      </c>
      <c r="I513" t="s">
        <v>177</v>
      </c>
      <c r="J513" t="s">
        <v>20</v>
      </c>
      <c r="K513">
        <v>6</v>
      </c>
      <c r="L513">
        <v>1282818</v>
      </c>
      <c r="M513">
        <v>50000</v>
      </c>
      <c r="N513" t="s">
        <v>43</v>
      </c>
      <c r="O513" t="s">
        <v>161</v>
      </c>
      <c r="P513" t="s">
        <v>156</v>
      </c>
      <c r="Q513" t="s">
        <v>38</v>
      </c>
    </row>
    <row r="514" spans="1:17" x14ac:dyDescent="0.25">
      <c r="A514" t="s">
        <v>970</v>
      </c>
      <c r="B514" t="s">
        <v>225</v>
      </c>
      <c r="C514" t="s">
        <v>226</v>
      </c>
      <c r="D514" s="8">
        <v>46065</v>
      </c>
      <c r="E514" t="s">
        <v>114</v>
      </c>
      <c r="F514" t="s">
        <v>18</v>
      </c>
      <c r="G514" t="s">
        <v>18</v>
      </c>
      <c r="H514" t="s">
        <v>28</v>
      </c>
      <c r="I514" t="s">
        <v>39</v>
      </c>
      <c r="J514" t="s">
        <v>32</v>
      </c>
      <c r="K514">
        <v>3</v>
      </c>
      <c r="L514">
        <v>2114240</v>
      </c>
      <c r="M514">
        <v>0</v>
      </c>
      <c r="N514" t="s">
        <v>137</v>
      </c>
      <c r="O514" t="s">
        <v>149</v>
      </c>
      <c r="P514" t="s">
        <v>139</v>
      </c>
      <c r="Q514" t="s">
        <v>1318</v>
      </c>
    </row>
    <row r="515" spans="1:17" x14ac:dyDescent="0.25">
      <c r="A515" t="s">
        <v>971</v>
      </c>
      <c r="B515" t="s">
        <v>370</v>
      </c>
      <c r="C515" t="s">
        <v>180</v>
      </c>
      <c r="D515" s="8">
        <v>46151</v>
      </c>
      <c r="E515" t="s">
        <v>26</v>
      </c>
      <c r="F515" t="s">
        <v>31</v>
      </c>
      <c r="G515" t="s">
        <v>31</v>
      </c>
      <c r="H515" t="s">
        <v>1315</v>
      </c>
      <c r="I515" t="s">
        <v>136</v>
      </c>
      <c r="J515" t="s">
        <v>35</v>
      </c>
      <c r="K515">
        <v>5</v>
      </c>
      <c r="L515">
        <v>611977</v>
      </c>
      <c r="M515">
        <v>15000</v>
      </c>
      <c r="N515" t="s">
        <v>137</v>
      </c>
      <c r="O515" t="s">
        <v>165</v>
      </c>
      <c r="P515" t="s">
        <v>139</v>
      </c>
      <c r="Q515" t="s">
        <v>21</v>
      </c>
    </row>
    <row r="516" spans="1:17" x14ac:dyDescent="0.25">
      <c r="A516" t="s">
        <v>972</v>
      </c>
      <c r="B516" t="s">
        <v>640</v>
      </c>
      <c r="C516" t="s">
        <v>198</v>
      </c>
      <c r="D516" s="8">
        <v>46043</v>
      </c>
      <c r="E516" t="s">
        <v>116</v>
      </c>
      <c r="F516" t="s">
        <v>27</v>
      </c>
      <c r="G516" t="s">
        <v>27</v>
      </c>
      <c r="H516" t="s">
        <v>28</v>
      </c>
      <c r="I516" t="s">
        <v>39</v>
      </c>
      <c r="J516" t="s">
        <v>25</v>
      </c>
      <c r="K516">
        <v>6</v>
      </c>
      <c r="L516">
        <v>1017158</v>
      </c>
      <c r="M516">
        <v>15000</v>
      </c>
      <c r="N516" t="s">
        <v>148</v>
      </c>
      <c r="O516" t="s">
        <v>149</v>
      </c>
      <c r="P516" t="s">
        <v>156</v>
      </c>
      <c r="Q516" t="s">
        <v>21</v>
      </c>
    </row>
    <row r="517" spans="1:17" x14ac:dyDescent="0.25">
      <c r="A517" t="s">
        <v>973</v>
      </c>
      <c r="B517" t="s">
        <v>974</v>
      </c>
      <c r="C517" t="s">
        <v>159</v>
      </c>
      <c r="D517" s="8">
        <v>46134</v>
      </c>
      <c r="E517" t="s">
        <v>117</v>
      </c>
      <c r="F517" t="s">
        <v>34</v>
      </c>
      <c r="G517" t="s">
        <v>34</v>
      </c>
      <c r="H517" t="s">
        <v>28</v>
      </c>
      <c r="I517" t="s">
        <v>177</v>
      </c>
      <c r="J517" t="s">
        <v>35</v>
      </c>
      <c r="K517">
        <v>1</v>
      </c>
      <c r="L517">
        <v>1580374</v>
      </c>
      <c r="M517">
        <v>15000</v>
      </c>
      <c r="N517" t="s">
        <v>148</v>
      </c>
      <c r="O517" t="s">
        <v>149</v>
      </c>
      <c r="P517" t="s">
        <v>156</v>
      </c>
      <c r="Q517" t="s">
        <v>21</v>
      </c>
    </row>
    <row r="518" spans="1:17" x14ac:dyDescent="0.25">
      <c r="A518" t="s">
        <v>975</v>
      </c>
      <c r="B518" t="s">
        <v>363</v>
      </c>
      <c r="C518" t="s">
        <v>195</v>
      </c>
      <c r="D518" s="8">
        <v>46118</v>
      </c>
      <c r="E518" t="s">
        <v>117</v>
      </c>
      <c r="F518" t="s">
        <v>23</v>
      </c>
      <c r="G518" t="s">
        <v>23</v>
      </c>
      <c r="H518" t="s">
        <v>1315</v>
      </c>
      <c r="I518" t="s">
        <v>136</v>
      </c>
      <c r="J518" t="s">
        <v>20</v>
      </c>
      <c r="K518">
        <v>2</v>
      </c>
      <c r="L518">
        <v>870803</v>
      </c>
      <c r="M518">
        <v>0</v>
      </c>
      <c r="N518" t="s">
        <v>137</v>
      </c>
      <c r="O518" t="s">
        <v>138</v>
      </c>
      <c r="P518" t="s">
        <v>139</v>
      </c>
      <c r="Q518" t="s">
        <v>1318</v>
      </c>
    </row>
    <row r="519" spans="1:17" x14ac:dyDescent="0.25">
      <c r="A519" t="s">
        <v>976</v>
      </c>
      <c r="B519" t="s">
        <v>725</v>
      </c>
      <c r="C519" t="s">
        <v>726</v>
      </c>
      <c r="D519" s="8">
        <v>46087</v>
      </c>
      <c r="E519" t="s">
        <v>115</v>
      </c>
      <c r="F519" t="s">
        <v>31</v>
      </c>
      <c r="G519" t="s">
        <v>31</v>
      </c>
      <c r="H519" t="s">
        <v>28</v>
      </c>
      <c r="I519" t="s">
        <v>173</v>
      </c>
      <c r="J519" t="s">
        <v>25</v>
      </c>
      <c r="K519">
        <v>5</v>
      </c>
      <c r="L519">
        <v>2228868</v>
      </c>
      <c r="M519">
        <v>0</v>
      </c>
      <c r="N519" t="s">
        <v>137</v>
      </c>
      <c r="O519" t="s">
        <v>138</v>
      </c>
      <c r="P519" t="s">
        <v>139</v>
      </c>
      <c r="Q519" t="s">
        <v>1318</v>
      </c>
    </row>
    <row r="520" spans="1:17" x14ac:dyDescent="0.25">
      <c r="A520" t="s">
        <v>977</v>
      </c>
      <c r="B520" t="s">
        <v>962</v>
      </c>
      <c r="C520" t="s">
        <v>17</v>
      </c>
      <c r="D520" s="8">
        <v>46037</v>
      </c>
      <c r="E520" t="s">
        <v>116</v>
      </c>
      <c r="F520" t="s">
        <v>31</v>
      </c>
      <c r="G520" t="s">
        <v>31</v>
      </c>
      <c r="H520" t="s">
        <v>160</v>
      </c>
      <c r="I520" t="s">
        <v>173</v>
      </c>
      <c r="J520" t="s">
        <v>25</v>
      </c>
      <c r="K520">
        <v>5</v>
      </c>
      <c r="L520">
        <v>247617</v>
      </c>
      <c r="M520">
        <v>35000</v>
      </c>
      <c r="N520" t="s">
        <v>137</v>
      </c>
      <c r="O520" t="s">
        <v>138</v>
      </c>
      <c r="P520" t="s">
        <v>156</v>
      </c>
      <c r="Q520" t="s">
        <v>21</v>
      </c>
    </row>
    <row r="521" spans="1:17" x14ac:dyDescent="0.25">
      <c r="A521" t="s">
        <v>978</v>
      </c>
      <c r="B521" t="s">
        <v>979</v>
      </c>
      <c r="C521" t="s">
        <v>679</v>
      </c>
      <c r="D521" s="8">
        <v>46062</v>
      </c>
      <c r="E521" t="s">
        <v>114</v>
      </c>
      <c r="F521" t="s">
        <v>23</v>
      </c>
      <c r="G521" t="s">
        <v>23</v>
      </c>
      <c r="H521" t="s">
        <v>28</v>
      </c>
      <c r="I521" t="s">
        <v>169</v>
      </c>
      <c r="J521" t="s">
        <v>20</v>
      </c>
      <c r="K521">
        <v>1</v>
      </c>
      <c r="L521">
        <v>862004</v>
      </c>
      <c r="M521">
        <v>15000</v>
      </c>
      <c r="N521" t="s">
        <v>137</v>
      </c>
      <c r="O521" t="s">
        <v>165</v>
      </c>
      <c r="P521" t="s">
        <v>139</v>
      </c>
      <c r="Q521" t="s">
        <v>21</v>
      </c>
    </row>
    <row r="522" spans="1:17" x14ac:dyDescent="0.25">
      <c r="A522" t="s">
        <v>980</v>
      </c>
      <c r="B522" t="s">
        <v>951</v>
      </c>
      <c r="C522" t="s">
        <v>762</v>
      </c>
      <c r="D522" s="8">
        <v>46162</v>
      </c>
      <c r="E522" t="s">
        <v>26</v>
      </c>
      <c r="F522" t="s">
        <v>120</v>
      </c>
      <c r="G522" t="s">
        <v>34</v>
      </c>
      <c r="H522" t="s">
        <v>143</v>
      </c>
      <c r="I522" t="s">
        <v>147</v>
      </c>
      <c r="J522" t="s">
        <v>25</v>
      </c>
      <c r="K522">
        <v>6</v>
      </c>
      <c r="L522">
        <v>1283827</v>
      </c>
      <c r="M522">
        <v>15000</v>
      </c>
      <c r="N522" t="s">
        <v>137</v>
      </c>
      <c r="O522" t="s">
        <v>161</v>
      </c>
      <c r="P522" t="s">
        <v>156</v>
      </c>
      <c r="Q522" t="s">
        <v>21</v>
      </c>
    </row>
    <row r="523" spans="1:17" x14ac:dyDescent="0.25">
      <c r="A523" t="s">
        <v>981</v>
      </c>
      <c r="B523" t="s">
        <v>459</v>
      </c>
      <c r="C523" t="s">
        <v>317</v>
      </c>
      <c r="D523" s="8">
        <v>46126</v>
      </c>
      <c r="E523" t="s">
        <v>117</v>
      </c>
      <c r="F523" t="s">
        <v>18</v>
      </c>
      <c r="G523" t="s">
        <v>18</v>
      </c>
      <c r="H523" t="s">
        <v>1315</v>
      </c>
      <c r="I523" t="s">
        <v>173</v>
      </c>
      <c r="J523" t="s">
        <v>29</v>
      </c>
      <c r="K523">
        <v>1</v>
      </c>
      <c r="L523">
        <v>1866418</v>
      </c>
      <c r="M523">
        <v>0</v>
      </c>
      <c r="N523" t="s">
        <v>137</v>
      </c>
      <c r="O523" t="s">
        <v>138</v>
      </c>
      <c r="P523" t="s">
        <v>139</v>
      </c>
      <c r="Q523" t="s">
        <v>1318</v>
      </c>
    </row>
    <row r="524" spans="1:17" x14ac:dyDescent="0.25">
      <c r="A524" t="s">
        <v>982</v>
      </c>
      <c r="B524" t="s">
        <v>154</v>
      </c>
      <c r="C524" t="s">
        <v>155</v>
      </c>
      <c r="D524" s="8">
        <v>46093</v>
      </c>
      <c r="E524" t="s">
        <v>115</v>
      </c>
      <c r="F524" t="s">
        <v>23</v>
      </c>
      <c r="G524" t="s">
        <v>23</v>
      </c>
      <c r="H524" t="s">
        <v>1315</v>
      </c>
      <c r="I524" t="s">
        <v>136</v>
      </c>
      <c r="J524" t="s">
        <v>35</v>
      </c>
      <c r="K524">
        <v>4</v>
      </c>
      <c r="L524">
        <v>953338</v>
      </c>
      <c r="M524">
        <v>50000</v>
      </c>
      <c r="N524" t="s">
        <v>137</v>
      </c>
      <c r="O524" t="s">
        <v>138</v>
      </c>
      <c r="P524" t="s">
        <v>139</v>
      </c>
      <c r="Q524" t="s">
        <v>21</v>
      </c>
    </row>
    <row r="525" spans="1:17" x14ac:dyDescent="0.25">
      <c r="A525" t="s">
        <v>983</v>
      </c>
      <c r="B525" t="s">
        <v>235</v>
      </c>
      <c r="C525" t="s">
        <v>142</v>
      </c>
      <c r="D525" s="8">
        <v>46110</v>
      </c>
      <c r="E525" t="s">
        <v>115</v>
      </c>
      <c r="F525" t="s">
        <v>31</v>
      </c>
      <c r="G525" t="s">
        <v>31</v>
      </c>
      <c r="H525" t="s">
        <v>160</v>
      </c>
      <c r="I525" t="s">
        <v>173</v>
      </c>
      <c r="J525" t="s">
        <v>20</v>
      </c>
      <c r="K525">
        <v>7</v>
      </c>
      <c r="L525">
        <v>2075603</v>
      </c>
      <c r="M525">
        <v>50000</v>
      </c>
      <c r="N525" t="s">
        <v>137</v>
      </c>
      <c r="O525" t="s">
        <v>138</v>
      </c>
      <c r="P525" t="s">
        <v>156</v>
      </c>
      <c r="Q525" t="s">
        <v>21</v>
      </c>
    </row>
    <row r="526" spans="1:17" x14ac:dyDescent="0.25">
      <c r="A526" t="s">
        <v>984</v>
      </c>
      <c r="B526" t="s">
        <v>222</v>
      </c>
      <c r="C526" t="s">
        <v>223</v>
      </c>
      <c r="D526" s="8">
        <v>46045</v>
      </c>
      <c r="E526" t="s">
        <v>116</v>
      </c>
      <c r="F526" t="s">
        <v>18</v>
      </c>
      <c r="G526" t="s">
        <v>18</v>
      </c>
      <c r="H526" t="s">
        <v>160</v>
      </c>
      <c r="I526" t="s">
        <v>177</v>
      </c>
      <c r="J526" t="s">
        <v>25</v>
      </c>
      <c r="K526">
        <v>5</v>
      </c>
      <c r="L526">
        <v>898709</v>
      </c>
      <c r="M526">
        <v>25000</v>
      </c>
      <c r="N526" t="s">
        <v>137</v>
      </c>
      <c r="O526" t="s">
        <v>161</v>
      </c>
      <c r="P526" t="s">
        <v>139</v>
      </c>
      <c r="Q526" t="s">
        <v>21</v>
      </c>
    </row>
    <row r="527" spans="1:17" x14ac:dyDescent="0.25">
      <c r="A527" t="s">
        <v>985</v>
      </c>
      <c r="B527" t="s">
        <v>739</v>
      </c>
      <c r="C527" t="s">
        <v>192</v>
      </c>
      <c r="D527" s="8">
        <v>46086</v>
      </c>
      <c r="E527" t="s">
        <v>115</v>
      </c>
      <c r="F527" t="s">
        <v>23</v>
      </c>
      <c r="G527" t="s">
        <v>23</v>
      </c>
      <c r="H527" t="s">
        <v>28</v>
      </c>
      <c r="I527" t="s">
        <v>169</v>
      </c>
      <c r="J527" t="s">
        <v>25</v>
      </c>
      <c r="K527">
        <v>6</v>
      </c>
      <c r="L527">
        <v>1410932</v>
      </c>
      <c r="M527">
        <v>15000</v>
      </c>
      <c r="N527" t="s">
        <v>137</v>
      </c>
      <c r="O527" t="s">
        <v>161</v>
      </c>
      <c r="P527" t="s">
        <v>156</v>
      </c>
      <c r="Q527" t="s">
        <v>21</v>
      </c>
    </row>
    <row r="528" spans="1:17" x14ac:dyDescent="0.25">
      <c r="A528" t="s">
        <v>986</v>
      </c>
      <c r="B528" t="s">
        <v>151</v>
      </c>
      <c r="C528" t="s">
        <v>152</v>
      </c>
      <c r="D528" s="8">
        <v>46058</v>
      </c>
      <c r="E528" t="s">
        <v>114</v>
      </c>
      <c r="F528" t="s">
        <v>18</v>
      </c>
      <c r="G528" t="s">
        <v>18</v>
      </c>
      <c r="H528" t="s">
        <v>143</v>
      </c>
      <c r="I528" t="s">
        <v>136</v>
      </c>
      <c r="J528" t="s">
        <v>25</v>
      </c>
      <c r="K528">
        <v>4</v>
      </c>
      <c r="L528">
        <v>2489949</v>
      </c>
      <c r="M528">
        <v>25000</v>
      </c>
      <c r="N528" t="s">
        <v>137</v>
      </c>
      <c r="O528" t="s">
        <v>161</v>
      </c>
      <c r="P528" t="s">
        <v>139</v>
      </c>
      <c r="Q528" t="s">
        <v>21</v>
      </c>
    </row>
    <row r="529" spans="1:17" x14ac:dyDescent="0.25">
      <c r="A529" t="s">
        <v>987</v>
      </c>
      <c r="B529" t="s">
        <v>233</v>
      </c>
      <c r="C529" t="s">
        <v>36</v>
      </c>
      <c r="D529" s="8">
        <v>46046</v>
      </c>
      <c r="E529" t="s">
        <v>116</v>
      </c>
      <c r="F529" t="s">
        <v>27</v>
      </c>
      <c r="G529" t="s">
        <v>27</v>
      </c>
      <c r="H529" t="s">
        <v>28</v>
      </c>
      <c r="I529" t="s">
        <v>169</v>
      </c>
      <c r="J529" t="s">
        <v>29</v>
      </c>
      <c r="K529">
        <v>5</v>
      </c>
      <c r="L529">
        <v>2174729</v>
      </c>
      <c r="M529">
        <v>25000</v>
      </c>
      <c r="N529" t="s">
        <v>137</v>
      </c>
      <c r="O529" t="s">
        <v>165</v>
      </c>
      <c r="P529" t="s">
        <v>156</v>
      </c>
      <c r="Q529" t="s">
        <v>21</v>
      </c>
    </row>
    <row r="530" spans="1:17" x14ac:dyDescent="0.25">
      <c r="A530" t="s">
        <v>988</v>
      </c>
      <c r="B530" t="s">
        <v>269</v>
      </c>
      <c r="C530" t="s">
        <v>180</v>
      </c>
      <c r="D530" s="8">
        <v>46172</v>
      </c>
      <c r="E530" t="s">
        <v>26</v>
      </c>
      <c r="F530" t="s">
        <v>31</v>
      </c>
      <c r="G530" t="s">
        <v>31</v>
      </c>
      <c r="H530" t="s">
        <v>1315</v>
      </c>
      <c r="I530" t="s">
        <v>169</v>
      </c>
      <c r="J530" t="s">
        <v>25</v>
      </c>
      <c r="K530">
        <v>5</v>
      </c>
      <c r="L530">
        <v>1737662</v>
      </c>
      <c r="M530">
        <v>15000</v>
      </c>
      <c r="N530" t="s">
        <v>137</v>
      </c>
      <c r="O530" t="s">
        <v>989</v>
      </c>
      <c r="P530" t="s">
        <v>156</v>
      </c>
      <c r="Q530" t="s">
        <v>21</v>
      </c>
    </row>
    <row r="531" spans="1:17" x14ac:dyDescent="0.25">
      <c r="A531" t="s">
        <v>990</v>
      </c>
      <c r="B531" t="s">
        <v>410</v>
      </c>
      <c r="C531" t="s">
        <v>411</v>
      </c>
      <c r="D531" s="8">
        <v>46202</v>
      </c>
      <c r="E531" t="s">
        <v>113</v>
      </c>
      <c r="F531" t="s">
        <v>27</v>
      </c>
      <c r="G531" t="s">
        <v>27</v>
      </c>
      <c r="H531" t="s">
        <v>143</v>
      </c>
      <c r="I531" t="s">
        <v>136</v>
      </c>
      <c r="J531" t="s">
        <v>29</v>
      </c>
      <c r="K531">
        <v>7</v>
      </c>
      <c r="L531">
        <v>2232944</v>
      </c>
      <c r="M531">
        <v>50000</v>
      </c>
      <c r="N531" t="s">
        <v>137</v>
      </c>
      <c r="O531" t="s">
        <v>161</v>
      </c>
      <c r="P531" t="s">
        <v>139</v>
      </c>
      <c r="Q531" t="s">
        <v>21</v>
      </c>
    </row>
    <row r="532" spans="1:17" x14ac:dyDescent="0.25">
      <c r="A532" t="s">
        <v>991</v>
      </c>
      <c r="B532" t="s">
        <v>941</v>
      </c>
      <c r="C532" t="s">
        <v>281</v>
      </c>
      <c r="D532" s="8">
        <v>46031</v>
      </c>
      <c r="E532" t="s">
        <v>116</v>
      </c>
      <c r="F532" t="s">
        <v>31</v>
      </c>
      <c r="G532" t="s">
        <v>31</v>
      </c>
      <c r="H532" t="s">
        <v>1315</v>
      </c>
      <c r="I532" t="s">
        <v>136</v>
      </c>
      <c r="J532" t="s">
        <v>35</v>
      </c>
      <c r="K532">
        <v>6</v>
      </c>
      <c r="L532" t="s">
        <v>992</v>
      </c>
      <c r="M532">
        <v>50000</v>
      </c>
      <c r="N532" t="s">
        <v>137</v>
      </c>
      <c r="O532" t="s">
        <v>138</v>
      </c>
      <c r="P532" t="s">
        <v>139</v>
      </c>
      <c r="Q532" t="s">
        <v>21</v>
      </c>
    </row>
    <row r="533" spans="1:17" x14ac:dyDescent="0.25">
      <c r="A533" t="s">
        <v>993</v>
      </c>
      <c r="B533" t="s">
        <v>506</v>
      </c>
      <c r="C533" t="s">
        <v>189</v>
      </c>
      <c r="D533" s="8">
        <v>25569</v>
      </c>
      <c r="E533" t="s">
        <v>116</v>
      </c>
      <c r="F533" t="s">
        <v>23</v>
      </c>
      <c r="G533" t="s">
        <v>23</v>
      </c>
      <c r="H533" t="s">
        <v>143</v>
      </c>
      <c r="I533" t="s">
        <v>39</v>
      </c>
      <c r="J533" t="s">
        <v>32</v>
      </c>
      <c r="K533">
        <v>6</v>
      </c>
      <c r="L533">
        <v>261976</v>
      </c>
      <c r="M533">
        <v>25000</v>
      </c>
      <c r="N533" t="s">
        <v>137</v>
      </c>
      <c r="O533" t="s">
        <v>138</v>
      </c>
      <c r="P533" t="s">
        <v>139</v>
      </c>
      <c r="Q533" t="s">
        <v>121</v>
      </c>
    </row>
    <row r="534" spans="1:17" x14ac:dyDescent="0.25">
      <c r="A534" t="s">
        <v>994</v>
      </c>
      <c r="B534" t="s">
        <v>881</v>
      </c>
      <c r="C534" t="s">
        <v>159</v>
      </c>
      <c r="D534" s="8">
        <v>46188</v>
      </c>
      <c r="E534" t="s">
        <v>113</v>
      </c>
      <c r="F534" t="s">
        <v>18</v>
      </c>
      <c r="G534" t="s">
        <v>18</v>
      </c>
      <c r="H534" t="s">
        <v>160</v>
      </c>
      <c r="I534" t="s">
        <v>39</v>
      </c>
      <c r="J534" t="s">
        <v>35</v>
      </c>
      <c r="K534">
        <v>3</v>
      </c>
      <c r="L534">
        <v>540301</v>
      </c>
      <c r="M534">
        <v>15000</v>
      </c>
      <c r="N534" t="s">
        <v>137</v>
      </c>
      <c r="P534" t="s">
        <v>139</v>
      </c>
      <c r="Q534" t="s">
        <v>1321</v>
      </c>
    </row>
    <row r="535" spans="1:17" x14ac:dyDescent="0.25">
      <c r="A535" t="s">
        <v>995</v>
      </c>
      <c r="B535" t="s">
        <v>300</v>
      </c>
      <c r="C535" t="s">
        <v>301</v>
      </c>
      <c r="D535" s="8">
        <v>46170</v>
      </c>
      <c r="E535" t="s">
        <v>26</v>
      </c>
      <c r="F535" t="s">
        <v>34</v>
      </c>
      <c r="G535" t="s">
        <v>34</v>
      </c>
      <c r="H535" t="s">
        <v>28</v>
      </c>
      <c r="I535" t="s">
        <v>169</v>
      </c>
      <c r="J535" t="s">
        <v>32</v>
      </c>
      <c r="K535">
        <v>4</v>
      </c>
      <c r="M535">
        <v>35000</v>
      </c>
      <c r="N535" t="s">
        <v>996</v>
      </c>
      <c r="O535" t="s">
        <v>165</v>
      </c>
      <c r="P535" t="s">
        <v>139</v>
      </c>
      <c r="Q535" t="s">
        <v>1317</v>
      </c>
    </row>
    <row r="536" spans="1:17" x14ac:dyDescent="0.25">
      <c r="A536" t="s">
        <v>997</v>
      </c>
      <c r="B536" t="s">
        <v>398</v>
      </c>
      <c r="C536" t="s">
        <v>399</v>
      </c>
      <c r="D536" s="8">
        <v>46082</v>
      </c>
      <c r="E536" t="s">
        <v>115</v>
      </c>
      <c r="F536" t="s">
        <v>27</v>
      </c>
      <c r="G536" t="s">
        <v>27</v>
      </c>
      <c r="H536" t="s">
        <v>28</v>
      </c>
      <c r="I536" t="s">
        <v>147</v>
      </c>
      <c r="J536" t="s">
        <v>20</v>
      </c>
      <c r="K536">
        <v>4</v>
      </c>
      <c r="L536">
        <v>2246347</v>
      </c>
      <c r="M536">
        <v>0</v>
      </c>
      <c r="N536" t="s">
        <v>137</v>
      </c>
      <c r="O536" t="s">
        <v>161</v>
      </c>
      <c r="P536" t="s">
        <v>156</v>
      </c>
      <c r="Q536" t="s">
        <v>1318</v>
      </c>
    </row>
    <row r="537" spans="1:17" x14ac:dyDescent="0.25">
      <c r="A537" t="s">
        <v>998</v>
      </c>
      <c r="B537" t="s">
        <v>545</v>
      </c>
      <c r="C537" t="s">
        <v>17</v>
      </c>
      <c r="D537" s="8">
        <v>46065</v>
      </c>
      <c r="E537" t="s">
        <v>114</v>
      </c>
      <c r="F537" t="s">
        <v>27</v>
      </c>
      <c r="G537" t="s">
        <v>27</v>
      </c>
      <c r="H537" t="s">
        <v>143</v>
      </c>
      <c r="I537" t="s">
        <v>177</v>
      </c>
      <c r="J537" t="s">
        <v>25</v>
      </c>
      <c r="K537">
        <v>6</v>
      </c>
      <c r="L537">
        <v>1380735</v>
      </c>
      <c r="M537">
        <v>50000</v>
      </c>
      <c r="N537" t="s">
        <v>43</v>
      </c>
      <c r="O537" t="s">
        <v>161</v>
      </c>
      <c r="P537" t="s">
        <v>156</v>
      </c>
      <c r="Q537" t="s">
        <v>38</v>
      </c>
    </row>
    <row r="538" spans="1:17" x14ac:dyDescent="0.25">
      <c r="A538" t="s">
        <v>999</v>
      </c>
      <c r="B538" t="s">
        <v>693</v>
      </c>
      <c r="C538" t="s">
        <v>164</v>
      </c>
      <c r="D538" s="8">
        <v>46102</v>
      </c>
      <c r="E538" t="s">
        <v>115</v>
      </c>
      <c r="F538" t="s">
        <v>18</v>
      </c>
      <c r="G538" t="s">
        <v>18</v>
      </c>
      <c r="H538" t="s">
        <v>143</v>
      </c>
      <c r="I538" t="s">
        <v>177</v>
      </c>
      <c r="J538" t="s">
        <v>25</v>
      </c>
      <c r="K538">
        <v>4</v>
      </c>
      <c r="L538">
        <v>713330</v>
      </c>
      <c r="M538">
        <v>25000</v>
      </c>
      <c r="N538" t="s">
        <v>137</v>
      </c>
      <c r="O538" t="s">
        <v>138</v>
      </c>
      <c r="P538" t="s">
        <v>139</v>
      </c>
      <c r="Q538" t="s">
        <v>21</v>
      </c>
    </row>
    <row r="539" spans="1:17" x14ac:dyDescent="0.25">
      <c r="A539" t="s">
        <v>1000</v>
      </c>
      <c r="B539" t="s">
        <v>739</v>
      </c>
      <c r="C539" t="s">
        <v>192</v>
      </c>
      <c r="D539" s="8">
        <v>46070</v>
      </c>
      <c r="E539" t="s">
        <v>114</v>
      </c>
      <c r="F539" t="s">
        <v>27</v>
      </c>
      <c r="G539" t="s">
        <v>27</v>
      </c>
      <c r="H539" t="s">
        <v>1315</v>
      </c>
      <c r="I539" t="s">
        <v>173</v>
      </c>
      <c r="J539" t="s">
        <v>32</v>
      </c>
      <c r="K539">
        <v>4</v>
      </c>
      <c r="L539">
        <v>1110625</v>
      </c>
      <c r="M539">
        <v>15000</v>
      </c>
      <c r="N539" t="s">
        <v>137</v>
      </c>
      <c r="O539" t="s">
        <v>161</v>
      </c>
      <c r="P539" t="s">
        <v>156</v>
      </c>
      <c r="Q539" t="s">
        <v>21</v>
      </c>
    </row>
    <row r="540" spans="1:17" x14ac:dyDescent="0.25">
      <c r="A540" t="s">
        <v>1001</v>
      </c>
      <c r="B540" t="s">
        <v>1002</v>
      </c>
      <c r="C540" t="s">
        <v>306</v>
      </c>
      <c r="D540" s="8">
        <v>46048</v>
      </c>
      <c r="E540" t="s">
        <v>116</v>
      </c>
      <c r="F540" t="s">
        <v>31</v>
      </c>
      <c r="G540" t="s">
        <v>31</v>
      </c>
      <c r="H540" t="s">
        <v>28</v>
      </c>
      <c r="I540" t="s">
        <v>39</v>
      </c>
      <c r="J540" t="s">
        <v>29</v>
      </c>
      <c r="K540">
        <v>6</v>
      </c>
      <c r="L540">
        <v>2094681</v>
      </c>
      <c r="M540">
        <v>50000</v>
      </c>
      <c r="N540" t="s">
        <v>137</v>
      </c>
      <c r="O540" t="s">
        <v>199</v>
      </c>
      <c r="P540" t="s">
        <v>156</v>
      </c>
      <c r="Q540" t="s">
        <v>21</v>
      </c>
    </row>
    <row r="541" spans="1:17" x14ac:dyDescent="0.25">
      <c r="A541" t="s">
        <v>1003</v>
      </c>
      <c r="B541" t="s">
        <v>498</v>
      </c>
      <c r="C541" t="s">
        <v>320</v>
      </c>
      <c r="D541" s="8">
        <v>46055</v>
      </c>
      <c r="E541" t="s">
        <v>114</v>
      </c>
      <c r="F541" t="s">
        <v>31</v>
      </c>
      <c r="G541" t="s">
        <v>31</v>
      </c>
      <c r="H541" t="s">
        <v>28</v>
      </c>
      <c r="I541" t="s">
        <v>147</v>
      </c>
      <c r="J541" t="s">
        <v>20</v>
      </c>
      <c r="K541">
        <v>4</v>
      </c>
      <c r="L541">
        <v>1455284</v>
      </c>
      <c r="M541">
        <v>15000</v>
      </c>
      <c r="N541" t="s">
        <v>137</v>
      </c>
      <c r="O541" t="s">
        <v>165</v>
      </c>
      <c r="P541" t="s">
        <v>139</v>
      </c>
      <c r="Q541" t="s">
        <v>21</v>
      </c>
    </row>
    <row r="542" spans="1:17" x14ac:dyDescent="0.25">
      <c r="A542" t="s">
        <v>1004</v>
      </c>
      <c r="B542" t="s">
        <v>835</v>
      </c>
      <c r="C542" t="s">
        <v>297</v>
      </c>
      <c r="D542" s="8">
        <v>46194</v>
      </c>
      <c r="E542" t="s">
        <v>113</v>
      </c>
      <c r="F542" t="s">
        <v>34</v>
      </c>
      <c r="G542" t="s">
        <v>34</v>
      </c>
      <c r="H542" t="s">
        <v>1315</v>
      </c>
      <c r="I542" t="s">
        <v>147</v>
      </c>
      <c r="J542" t="s">
        <v>20</v>
      </c>
      <c r="K542">
        <v>5</v>
      </c>
      <c r="L542">
        <v>232811</v>
      </c>
      <c r="M542">
        <v>15000</v>
      </c>
      <c r="N542" t="s">
        <v>137</v>
      </c>
      <c r="O542" t="s">
        <v>161</v>
      </c>
      <c r="P542" t="s">
        <v>139</v>
      </c>
      <c r="Q542" t="s">
        <v>21</v>
      </c>
    </row>
    <row r="543" spans="1:17" x14ac:dyDescent="0.25">
      <c r="A543" t="s">
        <v>1005</v>
      </c>
      <c r="B543" t="s">
        <v>725</v>
      </c>
      <c r="C543" t="s">
        <v>726</v>
      </c>
      <c r="D543" s="8">
        <v>46042</v>
      </c>
      <c r="E543" t="s">
        <v>116</v>
      </c>
      <c r="F543" t="s">
        <v>31</v>
      </c>
      <c r="G543" t="s">
        <v>31</v>
      </c>
      <c r="H543" t="s">
        <v>160</v>
      </c>
      <c r="I543" t="s">
        <v>136</v>
      </c>
      <c r="J543" t="s">
        <v>32</v>
      </c>
      <c r="K543">
        <v>4</v>
      </c>
      <c r="L543">
        <v>1084998</v>
      </c>
      <c r="M543">
        <v>15000</v>
      </c>
      <c r="N543" t="s">
        <v>137</v>
      </c>
      <c r="O543" t="s">
        <v>161</v>
      </c>
      <c r="P543" t="s">
        <v>156</v>
      </c>
      <c r="Q543" t="s">
        <v>21</v>
      </c>
    </row>
    <row r="544" spans="1:17" x14ac:dyDescent="0.25">
      <c r="A544" t="s">
        <v>1006</v>
      </c>
      <c r="B544" t="s">
        <v>255</v>
      </c>
      <c r="C544" t="s">
        <v>33</v>
      </c>
      <c r="D544" s="8">
        <v>46061</v>
      </c>
      <c r="E544" t="s">
        <v>114</v>
      </c>
      <c r="F544" t="s">
        <v>34</v>
      </c>
      <c r="G544" t="s">
        <v>34</v>
      </c>
      <c r="H544" t="s">
        <v>28</v>
      </c>
      <c r="I544" t="s">
        <v>177</v>
      </c>
      <c r="J544" t="s">
        <v>29</v>
      </c>
      <c r="K544">
        <v>4</v>
      </c>
      <c r="L544">
        <v>1315226</v>
      </c>
      <c r="M544">
        <v>25000</v>
      </c>
      <c r="N544" t="s">
        <v>137</v>
      </c>
      <c r="O544" t="s">
        <v>138</v>
      </c>
      <c r="P544" t="s">
        <v>139</v>
      </c>
      <c r="Q544" t="s">
        <v>21</v>
      </c>
    </row>
    <row r="545" spans="1:17" x14ac:dyDescent="0.25">
      <c r="A545" t="s">
        <v>1007</v>
      </c>
      <c r="B545" t="s">
        <v>501</v>
      </c>
      <c r="C545" t="s">
        <v>502</v>
      </c>
      <c r="D545" s="8">
        <v>46155</v>
      </c>
      <c r="E545" t="s">
        <v>26</v>
      </c>
      <c r="F545" t="s">
        <v>23</v>
      </c>
      <c r="G545" t="s">
        <v>23</v>
      </c>
      <c r="H545" t="s">
        <v>28</v>
      </c>
      <c r="I545" t="s">
        <v>173</v>
      </c>
      <c r="J545" t="s">
        <v>29</v>
      </c>
      <c r="K545">
        <v>7</v>
      </c>
      <c r="L545">
        <v>566402</v>
      </c>
      <c r="M545">
        <v>35000</v>
      </c>
      <c r="N545" t="s">
        <v>214</v>
      </c>
      <c r="O545" t="s">
        <v>138</v>
      </c>
      <c r="P545" t="s">
        <v>139</v>
      </c>
      <c r="Q545" t="s">
        <v>21</v>
      </c>
    </row>
    <row r="546" spans="1:17" x14ac:dyDescent="0.25">
      <c r="A546" t="s">
        <v>1008</v>
      </c>
      <c r="B546" t="s">
        <v>141</v>
      </c>
      <c r="C546" t="s">
        <v>142</v>
      </c>
      <c r="D546" s="8">
        <v>46170</v>
      </c>
      <c r="E546" t="s">
        <v>26</v>
      </c>
      <c r="F546" t="s">
        <v>31</v>
      </c>
      <c r="G546" t="s">
        <v>31</v>
      </c>
      <c r="H546" t="s">
        <v>28</v>
      </c>
      <c r="I546" t="s">
        <v>173</v>
      </c>
      <c r="J546" t="s">
        <v>25</v>
      </c>
      <c r="K546">
        <v>6</v>
      </c>
      <c r="L546">
        <v>2246388</v>
      </c>
      <c r="M546">
        <v>35000</v>
      </c>
      <c r="N546" t="s">
        <v>137</v>
      </c>
      <c r="O546" t="s">
        <v>138</v>
      </c>
      <c r="P546" t="s">
        <v>139</v>
      </c>
      <c r="Q546" t="s">
        <v>21</v>
      </c>
    </row>
    <row r="547" spans="1:17" x14ac:dyDescent="0.25">
      <c r="A547" t="s">
        <v>1009</v>
      </c>
      <c r="B547" t="s">
        <v>941</v>
      </c>
      <c r="C547" t="s">
        <v>281</v>
      </c>
      <c r="D547" s="8">
        <v>46185</v>
      </c>
      <c r="E547" t="s">
        <v>113</v>
      </c>
      <c r="F547" t="s">
        <v>31</v>
      </c>
      <c r="G547" t="s">
        <v>31</v>
      </c>
      <c r="H547" t="s">
        <v>1315</v>
      </c>
      <c r="I547" t="s">
        <v>147</v>
      </c>
      <c r="J547" t="s">
        <v>25</v>
      </c>
      <c r="K547">
        <v>7</v>
      </c>
      <c r="L547">
        <v>606364</v>
      </c>
      <c r="M547">
        <v>50000</v>
      </c>
      <c r="N547" t="s">
        <v>148</v>
      </c>
      <c r="O547" t="s">
        <v>165</v>
      </c>
      <c r="P547" t="s">
        <v>156</v>
      </c>
      <c r="Q547" t="s">
        <v>21</v>
      </c>
    </row>
    <row r="548" spans="1:17" x14ac:dyDescent="0.25">
      <c r="A548" t="s">
        <v>1010</v>
      </c>
      <c r="B548" t="s">
        <v>171</v>
      </c>
      <c r="C548" t="s">
        <v>172</v>
      </c>
      <c r="D548" s="8">
        <v>46068</v>
      </c>
      <c r="E548" t="s">
        <v>114</v>
      </c>
      <c r="F548" t="s">
        <v>18</v>
      </c>
      <c r="G548" t="s">
        <v>18</v>
      </c>
      <c r="H548" t="s">
        <v>160</v>
      </c>
      <c r="I548" t="s">
        <v>136</v>
      </c>
      <c r="J548" t="s">
        <v>35</v>
      </c>
      <c r="K548">
        <v>7</v>
      </c>
      <c r="L548">
        <v>1898658</v>
      </c>
      <c r="M548">
        <v>50000</v>
      </c>
      <c r="N548" t="s">
        <v>137</v>
      </c>
      <c r="O548" t="s">
        <v>138</v>
      </c>
      <c r="P548" t="s">
        <v>139</v>
      </c>
      <c r="Q548" t="s">
        <v>21</v>
      </c>
    </row>
    <row r="549" spans="1:17" x14ac:dyDescent="0.25">
      <c r="A549" t="s">
        <v>1011</v>
      </c>
      <c r="B549" t="s">
        <v>800</v>
      </c>
      <c r="C549" t="s">
        <v>192</v>
      </c>
      <c r="D549" s="8">
        <v>46154</v>
      </c>
      <c r="E549" t="s">
        <v>26</v>
      </c>
      <c r="F549" t="s">
        <v>31</v>
      </c>
      <c r="G549" t="s">
        <v>31</v>
      </c>
      <c r="H549" t="s">
        <v>28</v>
      </c>
      <c r="I549" t="s">
        <v>136</v>
      </c>
      <c r="J549" t="s">
        <v>20</v>
      </c>
      <c r="K549">
        <v>1</v>
      </c>
      <c r="L549">
        <v>2028363</v>
      </c>
      <c r="M549">
        <v>35000</v>
      </c>
      <c r="N549" t="s">
        <v>137</v>
      </c>
      <c r="O549" t="s">
        <v>161</v>
      </c>
      <c r="P549" t="s">
        <v>139</v>
      </c>
      <c r="Q549" t="s">
        <v>21</v>
      </c>
    </row>
    <row r="550" spans="1:17" x14ac:dyDescent="0.25">
      <c r="A550" t="s">
        <v>1012</v>
      </c>
      <c r="B550" t="s">
        <v>1013</v>
      </c>
      <c r="C550" t="s">
        <v>220</v>
      </c>
      <c r="D550" s="8">
        <v>46131</v>
      </c>
      <c r="E550" t="s">
        <v>117</v>
      </c>
      <c r="F550" t="s">
        <v>34</v>
      </c>
      <c r="G550" t="s">
        <v>34</v>
      </c>
      <c r="H550" t="s">
        <v>28</v>
      </c>
      <c r="I550" t="s">
        <v>173</v>
      </c>
      <c r="J550" t="s">
        <v>32</v>
      </c>
      <c r="K550">
        <v>7</v>
      </c>
      <c r="L550">
        <v>1535417</v>
      </c>
      <c r="M550">
        <v>25000</v>
      </c>
      <c r="N550" t="s">
        <v>148</v>
      </c>
      <c r="O550" t="s">
        <v>138</v>
      </c>
      <c r="P550" t="s">
        <v>139</v>
      </c>
      <c r="Q550" t="s">
        <v>21</v>
      </c>
    </row>
    <row r="551" spans="1:17" x14ac:dyDescent="0.25">
      <c r="A551" t="s">
        <v>1014</v>
      </c>
      <c r="B551" t="s">
        <v>349</v>
      </c>
      <c r="C551" t="s">
        <v>350</v>
      </c>
      <c r="D551" s="8">
        <v>46185</v>
      </c>
      <c r="E551" t="s">
        <v>113</v>
      </c>
      <c r="F551" t="s">
        <v>31</v>
      </c>
      <c r="G551" t="s">
        <v>31</v>
      </c>
      <c r="H551" t="s">
        <v>143</v>
      </c>
      <c r="I551" t="s">
        <v>177</v>
      </c>
      <c r="J551" t="s">
        <v>20</v>
      </c>
      <c r="K551">
        <v>1</v>
      </c>
      <c r="L551">
        <v>269380</v>
      </c>
      <c r="M551">
        <v>50000</v>
      </c>
      <c r="N551" t="s">
        <v>137</v>
      </c>
      <c r="O551" t="s">
        <v>161</v>
      </c>
      <c r="P551" t="s">
        <v>156</v>
      </c>
      <c r="Q551" t="s">
        <v>21</v>
      </c>
    </row>
    <row r="552" spans="1:17" x14ac:dyDescent="0.25">
      <c r="A552" t="s">
        <v>1015</v>
      </c>
      <c r="B552" t="s">
        <v>141</v>
      </c>
      <c r="C552" t="s">
        <v>142</v>
      </c>
      <c r="D552" s="8">
        <v>46060</v>
      </c>
      <c r="E552" t="s">
        <v>114</v>
      </c>
      <c r="F552" t="s">
        <v>27</v>
      </c>
      <c r="G552" t="s">
        <v>27</v>
      </c>
      <c r="H552" t="s">
        <v>143</v>
      </c>
      <c r="I552" t="s">
        <v>169</v>
      </c>
      <c r="J552" t="s">
        <v>35</v>
      </c>
      <c r="K552">
        <v>3</v>
      </c>
      <c r="L552">
        <v>2189680</v>
      </c>
      <c r="M552">
        <v>35000</v>
      </c>
      <c r="N552" t="s">
        <v>137</v>
      </c>
      <c r="O552" t="s">
        <v>138</v>
      </c>
      <c r="P552" t="s">
        <v>139</v>
      </c>
      <c r="Q552" t="s">
        <v>21</v>
      </c>
    </row>
    <row r="553" spans="1:17" x14ac:dyDescent="0.25">
      <c r="A553" t="s">
        <v>1016</v>
      </c>
      <c r="B553" t="s">
        <v>398</v>
      </c>
      <c r="C553" t="s">
        <v>399</v>
      </c>
      <c r="D553" s="8">
        <v>46042</v>
      </c>
      <c r="E553" t="s">
        <v>116</v>
      </c>
      <c r="F553" t="s">
        <v>23</v>
      </c>
      <c r="G553" t="s">
        <v>23</v>
      </c>
      <c r="H553" t="s">
        <v>28</v>
      </c>
      <c r="I553" t="s">
        <v>147</v>
      </c>
      <c r="J553" t="s">
        <v>20</v>
      </c>
      <c r="K553">
        <v>1</v>
      </c>
      <c r="L553">
        <v>1489811</v>
      </c>
      <c r="M553">
        <v>25000</v>
      </c>
      <c r="N553" t="s">
        <v>137</v>
      </c>
      <c r="O553" t="s">
        <v>149</v>
      </c>
      <c r="P553" t="s">
        <v>139</v>
      </c>
      <c r="Q553" t="s">
        <v>21</v>
      </c>
    </row>
    <row r="554" spans="1:17" x14ac:dyDescent="0.25">
      <c r="A554" t="s">
        <v>1017</v>
      </c>
      <c r="B554" t="s">
        <v>134</v>
      </c>
      <c r="C554" t="s">
        <v>135</v>
      </c>
      <c r="D554" s="8">
        <v>46186</v>
      </c>
      <c r="E554" t="s">
        <v>113</v>
      </c>
      <c r="F554" t="s">
        <v>34</v>
      </c>
      <c r="G554" t="s">
        <v>34</v>
      </c>
      <c r="H554" t="s">
        <v>160</v>
      </c>
      <c r="I554" t="s">
        <v>39</v>
      </c>
      <c r="J554" t="s">
        <v>20</v>
      </c>
      <c r="K554">
        <v>4</v>
      </c>
      <c r="L554">
        <v>1386620</v>
      </c>
      <c r="M554">
        <v>35000</v>
      </c>
      <c r="N554" t="s">
        <v>137</v>
      </c>
      <c r="O554" t="s">
        <v>149</v>
      </c>
      <c r="P554" t="s">
        <v>156</v>
      </c>
      <c r="Q554" t="s">
        <v>21</v>
      </c>
    </row>
    <row r="555" spans="1:17" x14ac:dyDescent="0.25">
      <c r="A555" t="s">
        <v>1018</v>
      </c>
      <c r="B555" t="s">
        <v>705</v>
      </c>
      <c r="C555" t="s">
        <v>502</v>
      </c>
      <c r="D555" s="8">
        <v>46089</v>
      </c>
      <c r="E555" t="s">
        <v>115</v>
      </c>
      <c r="F555" t="s">
        <v>23</v>
      </c>
      <c r="G555" t="s">
        <v>23</v>
      </c>
      <c r="H555" t="s">
        <v>1315</v>
      </c>
      <c r="I555" t="s">
        <v>147</v>
      </c>
      <c r="J555" t="s">
        <v>32</v>
      </c>
      <c r="K555">
        <v>5</v>
      </c>
      <c r="L555">
        <v>1391718</v>
      </c>
      <c r="M555">
        <v>50000</v>
      </c>
      <c r="N555" t="s">
        <v>137</v>
      </c>
      <c r="O555" t="s">
        <v>165</v>
      </c>
      <c r="P555" t="s">
        <v>156</v>
      </c>
      <c r="Q555" t="s">
        <v>21</v>
      </c>
    </row>
    <row r="556" spans="1:17" x14ac:dyDescent="0.25">
      <c r="A556" t="s">
        <v>1019</v>
      </c>
      <c r="B556" t="s">
        <v>289</v>
      </c>
      <c r="C556" t="s">
        <v>146</v>
      </c>
      <c r="D556" s="8">
        <v>46134</v>
      </c>
      <c r="E556" t="s">
        <v>117</v>
      </c>
      <c r="F556" t="s">
        <v>31</v>
      </c>
      <c r="G556" t="s">
        <v>31</v>
      </c>
      <c r="H556" t="s">
        <v>143</v>
      </c>
      <c r="I556" t="s">
        <v>169</v>
      </c>
      <c r="J556" t="s">
        <v>25</v>
      </c>
      <c r="K556">
        <v>3</v>
      </c>
      <c r="L556">
        <v>1272539</v>
      </c>
      <c r="M556">
        <v>15000</v>
      </c>
      <c r="N556" t="s">
        <v>137</v>
      </c>
      <c r="O556" t="s">
        <v>161</v>
      </c>
      <c r="P556" t="s">
        <v>139</v>
      </c>
      <c r="Q556" t="s">
        <v>45</v>
      </c>
    </row>
    <row r="557" spans="1:17" x14ac:dyDescent="0.25">
      <c r="A557" t="s">
        <v>1020</v>
      </c>
      <c r="B557" t="s">
        <v>207</v>
      </c>
      <c r="C557" t="s">
        <v>168</v>
      </c>
      <c r="D557" s="8">
        <v>46127</v>
      </c>
      <c r="E557" t="s">
        <v>117</v>
      </c>
      <c r="F557" t="s">
        <v>34</v>
      </c>
      <c r="G557" t="s">
        <v>34</v>
      </c>
      <c r="H557" t="s">
        <v>28</v>
      </c>
      <c r="I557" t="s">
        <v>147</v>
      </c>
      <c r="J557" t="s">
        <v>25</v>
      </c>
      <c r="K557">
        <v>7</v>
      </c>
      <c r="L557">
        <v>988792</v>
      </c>
      <c r="M557">
        <v>0</v>
      </c>
      <c r="N557" t="s">
        <v>137</v>
      </c>
      <c r="O557" t="s">
        <v>161</v>
      </c>
      <c r="P557" t="s">
        <v>156</v>
      </c>
      <c r="Q557" t="s">
        <v>1318</v>
      </c>
    </row>
    <row r="558" spans="1:17" x14ac:dyDescent="0.25">
      <c r="A558" t="s">
        <v>1021</v>
      </c>
      <c r="B558" t="s">
        <v>580</v>
      </c>
      <c r="C558" t="s">
        <v>33</v>
      </c>
      <c r="D558" s="8">
        <v>46080</v>
      </c>
      <c r="E558" t="s">
        <v>114</v>
      </c>
      <c r="F558" t="s">
        <v>27</v>
      </c>
      <c r="G558" t="s">
        <v>27</v>
      </c>
      <c r="H558" t="s">
        <v>28</v>
      </c>
      <c r="I558" t="s">
        <v>147</v>
      </c>
      <c r="J558" t="s">
        <v>32</v>
      </c>
      <c r="K558">
        <v>2</v>
      </c>
      <c r="L558">
        <v>195803</v>
      </c>
      <c r="M558">
        <v>25000</v>
      </c>
      <c r="N558" t="s">
        <v>137</v>
      </c>
      <c r="O558" t="s">
        <v>161</v>
      </c>
      <c r="P558" t="s">
        <v>139</v>
      </c>
      <c r="Q558" t="s">
        <v>21</v>
      </c>
    </row>
    <row r="559" spans="1:17" x14ac:dyDescent="0.25">
      <c r="A559" t="s">
        <v>1022</v>
      </c>
      <c r="B559" t="s">
        <v>179</v>
      </c>
      <c r="C559" t="s">
        <v>180</v>
      </c>
      <c r="D559" s="8">
        <v>46122</v>
      </c>
      <c r="E559" t="s">
        <v>117</v>
      </c>
      <c r="F559" t="s">
        <v>31</v>
      </c>
      <c r="G559" t="s">
        <v>31</v>
      </c>
      <c r="H559" t="s">
        <v>143</v>
      </c>
      <c r="I559" t="s">
        <v>39</v>
      </c>
      <c r="J559" t="s">
        <v>32</v>
      </c>
      <c r="K559">
        <v>1</v>
      </c>
      <c r="L559">
        <v>2114823</v>
      </c>
      <c r="M559">
        <v>50000</v>
      </c>
      <c r="N559" t="s">
        <v>137</v>
      </c>
      <c r="O559" t="s">
        <v>161</v>
      </c>
      <c r="P559" t="s">
        <v>156</v>
      </c>
      <c r="Q559" t="s">
        <v>21</v>
      </c>
    </row>
    <row r="560" spans="1:17" x14ac:dyDescent="0.25">
      <c r="A560" t="s">
        <v>1023</v>
      </c>
      <c r="B560" t="s">
        <v>245</v>
      </c>
      <c r="C560" t="s">
        <v>246</v>
      </c>
      <c r="D560" s="8">
        <v>46201</v>
      </c>
      <c r="E560" t="s">
        <v>113</v>
      </c>
      <c r="F560" t="s">
        <v>27</v>
      </c>
      <c r="G560" t="s">
        <v>27</v>
      </c>
      <c r="H560" t="s">
        <v>160</v>
      </c>
      <c r="I560" t="s">
        <v>169</v>
      </c>
      <c r="J560" t="s">
        <v>32</v>
      </c>
      <c r="K560">
        <v>3</v>
      </c>
      <c r="L560">
        <v>833087</v>
      </c>
      <c r="M560">
        <v>35000</v>
      </c>
      <c r="N560" t="s">
        <v>137</v>
      </c>
      <c r="O560" t="s">
        <v>138</v>
      </c>
      <c r="P560" t="s">
        <v>139</v>
      </c>
      <c r="Q560" t="s">
        <v>21</v>
      </c>
    </row>
    <row r="561" spans="1:17" x14ac:dyDescent="0.25">
      <c r="A561" t="s">
        <v>1024</v>
      </c>
      <c r="B561" t="s">
        <v>443</v>
      </c>
      <c r="C561" t="s">
        <v>246</v>
      </c>
      <c r="D561" s="8">
        <v>46076</v>
      </c>
      <c r="E561" t="s">
        <v>114</v>
      </c>
      <c r="F561" t="s">
        <v>31</v>
      </c>
      <c r="G561" t="s">
        <v>31</v>
      </c>
      <c r="H561" t="s">
        <v>160</v>
      </c>
      <c r="I561" t="s">
        <v>177</v>
      </c>
      <c r="J561" t="s">
        <v>35</v>
      </c>
      <c r="K561">
        <v>3</v>
      </c>
      <c r="L561">
        <v>2341268</v>
      </c>
      <c r="M561">
        <v>25000</v>
      </c>
      <c r="N561" t="s">
        <v>137</v>
      </c>
      <c r="O561" t="s">
        <v>161</v>
      </c>
      <c r="P561" t="s">
        <v>156</v>
      </c>
      <c r="Q561" t="s">
        <v>21</v>
      </c>
    </row>
    <row r="562" spans="1:17" x14ac:dyDescent="0.25">
      <c r="A562" t="s">
        <v>1025</v>
      </c>
      <c r="B562" t="s">
        <v>1026</v>
      </c>
      <c r="C562" t="s">
        <v>135</v>
      </c>
      <c r="D562" s="8">
        <v>46113</v>
      </c>
      <c r="E562" t="s">
        <v>117</v>
      </c>
      <c r="F562" t="s">
        <v>27</v>
      </c>
      <c r="G562" t="s">
        <v>27</v>
      </c>
      <c r="H562" t="s">
        <v>28</v>
      </c>
      <c r="I562" t="s">
        <v>177</v>
      </c>
      <c r="J562" t="s">
        <v>32</v>
      </c>
      <c r="K562">
        <v>4</v>
      </c>
      <c r="L562">
        <v>2489330</v>
      </c>
      <c r="M562">
        <v>35000</v>
      </c>
      <c r="N562" t="s">
        <v>37</v>
      </c>
      <c r="O562" t="s">
        <v>149</v>
      </c>
      <c r="P562" t="s">
        <v>156</v>
      </c>
      <c r="Q562" t="s">
        <v>21</v>
      </c>
    </row>
    <row r="563" spans="1:17" x14ac:dyDescent="0.25">
      <c r="A563" t="s">
        <v>1027</v>
      </c>
      <c r="B563" t="s">
        <v>614</v>
      </c>
      <c r="C563" t="s">
        <v>22</v>
      </c>
      <c r="D563" s="8">
        <v>46178</v>
      </c>
      <c r="E563" t="s">
        <v>113</v>
      </c>
      <c r="F563" t="s">
        <v>27</v>
      </c>
      <c r="G563" t="s">
        <v>27</v>
      </c>
      <c r="H563" t="s">
        <v>1315</v>
      </c>
      <c r="I563" t="s">
        <v>177</v>
      </c>
      <c r="J563" t="s">
        <v>29</v>
      </c>
      <c r="K563">
        <v>4</v>
      </c>
      <c r="L563">
        <v>637971</v>
      </c>
      <c r="M563">
        <v>0</v>
      </c>
      <c r="N563" t="s">
        <v>137</v>
      </c>
      <c r="O563" t="s">
        <v>149</v>
      </c>
      <c r="P563" t="s">
        <v>139</v>
      </c>
      <c r="Q563" t="s">
        <v>1318</v>
      </c>
    </row>
    <row r="564" spans="1:17" x14ac:dyDescent="0.25">
      <c r="A564" t="s">
        <v>1028</v>
      </c>
      <c r="B564" t="s">
        <v>1029</v>
      </c>
      <c r="C564" t="s">
        <v>441</v>
      </c>
      <c r="D564" s="8">
        <v>46127</v>
      </c>
      <c r="E564" t="s">
        <v>117</v>
      </c>
      <c r="F564" t="s">
        <v>34</v>
      </c>
      <c r="G564" t="s">
        <v>34</v>
      </c>
      <c r="H564" t="s">
        <v>160</v>
      </c>
      <c r="I564" t="s">
        <v>169</v>
      </c>
      <c r="J564" t="s">
        <v>25</v>
      </c>
      <c r="K564">
        <v>4</v>
      </c>
      <c r="L564">
        <v>1596498</v>
      </c>
      <c r="M564">
        <v>15000</v>
      </c>
      <c r="N564" t="s">
        <v>43</v>
      </c>
      <c r="O564" t="s">
        <v>161</v>
      </c>
      <c r="P564" t="s">
        <v>139</v>
      </c>
      <c r="Q564" t="s">
        <v>38</v>
      </c>
    </row>
    <row r="565" spans="1:17" x14ac:dyDescent="0.25">
      <c r="A565" t="s">
        <v>1030</v>
      </c>
      <c r="B565" t="s">
        <v>722</v>
      </c>
      <c r="C565" t="s">
        <v>172</v>
      </c>
      <c r="D565" s="8">
        <v>46126</v>
      </c>
      <c r="E565" t="s">
        <v>117</v>
      </c>
      <c r="F565" t="s">
        <v>18</v>
      </c>
      <c r="G565" t="s">
        <v>18</v>
      </c>
      <c r="H565" t="s">
        <v>28</v>
      </c>
      <c r="I565" t="s">
        <v>136</v>
      </c>
      <c r="J565" t="s">
        <v>20</v>
      </c>
      <c r="K565">
        <v>3</v>
      </c>
      <c r="L565">
        <v>2195480</v>
      </c>
      <c r="M565">
        <v>35000</v>
      </c>
      <c r="N565" t="s">
        <v>148</v>
      </c>
      <c r="O565" t="s">
        <v>149</v>
      </c>
      <c r="P565" t="s">
        <v>139</v>
      </c>
      <c r="Q565" t="s">
        <v>21</v>
      </c>
    </row>
    <row r="566" spans="1:17" x14ac:dyDescent="0.25">
      <c r="A566" t="s">
        <v>1031</v>
      </c>
      <c r="B566" t="s">
        <v>1032</v>
      </c>
      <c r="C566" t="s">
        <v>441</v>
      </c>
      <c r="D566" s="8">
        <v>46141</v>
      </c>
      <c r="E566" t="s">
        <v>117</v>
      </c>
      <c r="F566" t="s">
        <v>31</v>
      </c>
      <c r="G566" t="s">
        <v>31</v>
      </c>
      <c r="H566" t="s">
        <v>28</v>
      </c>
      <c r="I566" t="s">
        <v>177</v>
      </c>
      <c r="J566" t="s">
        <v>20</v>
      </c>
      <c r="K566">
        <v>4</v>
      </c>
      <c r="L566">
        <v>842555</v>
      </c>
      <c r="M566">
        <v>0</v>
      </c>
      <c r="N566" t="s">
        <v>137</v>
      </c>
      <c r="O566" t="s">
        <v>138</v>
      </c>
      <c r="P566" t="s">
        <v>156</v>
      </c>
      <c r="Q566" t="s">
        <v>1318</v>
      </c>
    </row>
    <row r="567" spans="1:17" x14ac:dyDescent="0.25">
      <c r="A567" t="s">
        <v>1033</v>
      </c>
      <c r="B567" t="s">
        <v>440</v>
      </c>
      <c r="C567" t="s">
        <v>441</v>
      </c>
      <c r="D567" s="8">
        <v>46179</v>
      </c>
      <c r="E567" t="s">
        <v>113</v>
      </c>
      <c r="F567" t="s">
        <v>23</v>
      </c>
      <c r="G567" t="s">
        <v>23</v>
      </c>
      <c r="H567" t="s">
        <v>1315</v>
      </c>
      <c r="I567" t="s">
        <v>147</v>
      </c>
      <c r="J567" t="s">
        <v>29</v>
      </c>
      <c r="K567">
        <v>5</v>
      </c>
      <c r="L567">
        <v>2231250</v>
      </c>
      <c r="M567">
        <v>0</v>
      </c>
      <c r="N567" t="s">
        <v>137</v>
      </c>
      <c r="O567" t="s">
        <v>138</v>
      </c>
      <c r="P567" t="s">
        <v>156</v>
      </c>
      <c r="Q567" t="s">
        <v>1318</v>
      </c>
    </row>
    <row r="568" spans="1:17" x14ac:dyDescent="0.25">
      <c r="A568" t="s">
        <v>1034</v>
      </c>
      <c r="B568" t="s">
        <v>475</v>
      </c>
      <c r="C568" t="s">
        <v>213</v>
      </c>
      <c r="D568" s="8">
        <v>46183</v>
      </c>
      <c r="E568" t="s">
        <v>113</v>
      </c>
      <c r="F568" t="s">
        <v>31</v>
      </c>
      <c r="G568" t="s">
        <v>31</v>
      </c>
      <c r="H568" t="s">
        <v>143</v>
      </c>
      <c r="I568" t="s">
        <v>177</v>
      </c>
      <c r="J568" t="s">
        <v>32</v>
      </c>
      <c r="K568">
        <v>3</v>
      </c>
      <c r="L568">
        <v>2099348</v>
      </c>
      <c r="M568">
        <v>0</v>
      </c>
      <c r="N568" t="s">
        <v>137</v>
      </c>
      <c r="O568" t="s">
        <v>138</v>
      </c>
      <c r="P568" t="s">
        <v>139</v>
      </c>
      <c r="Q568" t="s">
        <v>1318</v>
      </c>
    </row>
    <row r="569" spans="1:17" x14ac:dyDescent="0.25">
      <c r="A569" t="s">
        <v>1035</v>
      </c>
      <c r="B569" t="s">
        <v>267</v>
      </c>
      <c r="C569" t="s">
        <v>281</v>
      </c>
      <c r="D569" s="8">
        <v>46084</v>
      </c>
      <c r="E569" t="s">
        <v>115</v>
      </c>
      <c r="F569" t="s">
        <v>34</v>
      </c>
      <c r="G569" t="s">
        <v>34</v>
      </c>
      <c r="H569" t="s">
        <v>160</v>
      </c>
      <c r="I569" t="s">
        <v>173</v>
      </c>
      <c r="J569" t="s">
        <v>29</v>
      </c>
      <c r="K569">
        <v>6</v>
      </c>
      <c r="L569">
        <v>854888</v>
      </c>
      <c r="M569">
        <v>35000</v>
      </c>
      <c r="N569" t="s">
        <v>43</v>
      </c>
      <c r="O569" t="s">
        <v>161</v>
      </c>
      <c r="P569" t="s">
        <v>139</v>
      </c>
      <c r="Q569" t="s">
        <v>38</v>
      </c>
    </row>
    <row r="570" spans="1:17" x14ac:dyDescent="0.25">
      <c r="A570" t="s">
        <v>1036</v>
      </c>
      <c r="B570" t="s">
        <v>1037</v>
      </c>
      <c r="C570" t="s">
        <v>684</v>
      </c>
      <c r="D570" s="8">
        <v>46085</v>
      </c>
      <c r="E570" t="s">
        <v>115</v>
      </c>
      <c r="F570" t="s">
        <v>23</v>
      </c>
      <c r="G570" t="s">
        <v>23</v>
      </c>
      <c r="H570" t="s">
        <v>1315</v>
      </c>
      <c r="I570" t="s">
        <v>177</v>
      </c>
      <c r="J570" t="s">
        <v>29</v>
      </c>
      <c r="K570">
        <v>7</v>
      </c>
      <c r="L570">
        <v>1980816</v>
      </c>
      <c r="M570">
        <v>15000</v>
      </c>
      <c r="N570" t="s">
        <v>137</v>
      </c>
      <c r="O570" t="s">
        <v>138</v>
      </c>
      <c r="P570" t="s">
        <v>139</v>
      </c>
      <c r="Q570" t="s">
        <v>21</v>
      </c>
    </row>
    <row r="571" spans="1:17" x14ac:dyDescent="0.25">
      <c r="A571" t="s">
        <v>1038</v>
      </c>
      <c r="B571" t="s">
        <v>551</v>
      </c>
      <c r="C571" t="s">
        <v>452</v>
      </c>
      <c r="D571" s="8">
        <v>46040</v>
      </c>
      <c r="E571" t="s">
        <v>116</v>
      </c>
      <c r="F571" t="s">
        <v>31</v>
      </c>
      <c r="G571" t="s">
        <v>31</v>
      </c>
      <c r="H571" t="s">
        <v>28</v>
      </c>
      <c r="I571" t="s">
        <v>173</v>
      </c>
      <c r="J571" t="s">
        <v>32</v>
      </c>
      <c r="K571">
        <v>6</v>
      </c>
      <c r="L571">
        <v>148870</v>
      </c>
      <c r="M571">
        <v>0</v>
      </c>
      <c r="N571" t="s">
        <v>137</v>
      </c>
      <c r="O571" t="s">
        <v>165</v>
      </c>
      <c r="P571" t="s">
        <v>139</v>
      </c>
      <c r="Q571" t="s">
        <v>1318</v>
      </c>
    </row>
    <row r="572" spans="1:17" x14ac:dyDescent="0.25">
      <c r="A572" t="s">
        <v>1039</v>
      </c>
      <c r="B572" t="s">
        <v>492</v>
      </c>
      <c r="C572" t="s">
        <v>146</v>
      </c>
      <c r="D572" s="8">
        <v>46160</v>
      </c>
      <c r="E572" t="s">
        <v>26</v>
      </c>
      <c r="F572" t="s">
        <v>23</v>
      </c>
      <c r="G572" t="s">
        <v>23</v>
      </c>
      <c r="H572" t="s">
        <v>1315</v>
      </c>
      <c r="I572" t="s">
        <v>39</v>
      </c>
      <c r="J572" t="s">
        <v>20</v>
      </c>
      <c r="K572">
        <v>6</v>
      </c>
      <c r="L572">
        <v>627435</v>
      </c>
      <c r="M572">
        <v>50000</v>
      </c>
      <c r="N572" t="s">
        <v>37</v>
      </c>
      <c r="O572" t="s">
        <v>165</v>
      </c>
      <c r="P572" t="s">
        <v>139</v>
      </c>
      <c r="Q572" t="s">
        <v>21</v>
      </c>
    </row>
    <row r="573" spans="1:17" x14ac:dyDescent="0.25">
      <c r="A573" t="s">
        <v>1040</v>
      </c>
      <c r="B573" t="s">
        <v>620</v>
      </c>
      <c r="C573" t="s">
        <v>277</v>
      </c>
      <c r="D573" s="8">
        <v>46153</v>
      </c>
      <c r="E573" t="s">
        <v>26</v>
      </c>
      <c r="F573" t="s">
        <v>34</v>
      </c>
      <c r="G573" t="s">
        <v>34</v>
      </c>
      <c r="H573" t="s">
        <v>160</v>
      </c>
      <c r="I573" t="s">
        <v>169</v>
      </c>
      <c r="J573" t="s">
        <v>29</v>
      </c>
      <c r="K573">
        <v>7</v>
      </c>
      <c r="L573" t="s">
        <v>1041</v>
      </c>
      <c r="M573">
        <v>35000</v>
      </c>
      <c r="N573" t="s">
        <v>137</v>
      </c>
      <c r="O573" t="s">
        <v>161</v>
      </c>
      <c r="P573" t="s">
        <v>139</v>
      </c>
      <c r="Q573" t="s">
        <v>21</v>
      </c>
    </row>
    <row r="574" spans="1:17" x14ac:dyDescent="0.25">
      <c r="A574" t="s">
        <v>1042</v>
      </c>
      <c r="B574" t="s">
        <v>191</v>
      </c>
      <c r="C574" t="s">
        <v>192</v>
      </c>
      <c r="D574" s="8">
        <v>46191</v>
      </c>
      <c r="E574" t="s">
        <v>113</v>
      </c>
      <c r="F574" t="s">
        <v>23</v>
      </c>
      <c r="G574" t="s">
        <v>23</v>
      </c>
      <c r="H574" t="s">
        <v>28</v>
      </c>
      <c r="I574" t="s">
        <v>169</v>
      </c>
      <c r="J574" t="s">
        <v>32</v>
      </c>
      <c r="K574">
        <v>2</v>
      </c>
      <c r="L574">
        <v>1545369</v>
      </c>
      <c r="M574">
        <v>15000</v>
      </c>
      <c r="N574" t="s">
        <v>148</v>
      </c>
      <c r="O574" t="s">
        <v>138</v>
      </c>
      <c r="P574" t="s">
        <v>156</v>
      </c>
      <c r="Q574" t="s">
        <v>21</v>
      </c>
    </row>
    <row r="575" spans="1:17" x14ac:dyDescent="0.25">
      <c r="A575" t="s">
        <v>1043</v>
      </c>
      <c r="B575" t="s">
        <v>925</v>
      </c>
      <c r="C575" t="s">
        <v>258</v>
      </c>
      <c r="D575" s="8">
        <v>46089</v>
      </c>
      <c r="E575" t="s">
        <v>115</v>
      </c>
      <c r="F575" t="s">
        <v>34</v>
      </c>
      <c r="G575" t="s">
        <v>34</v>
      </c>
      <c r="H575" t="s">
        <v>1315</v>
      </c>
      <c r="I575" t="s">
        <v>147</v>
      </c>
      <c r="J575" t="s">
        <v>20</v>
      </c>
      <c r="K575">
        <v>6</v>
      </c>
      <c r="L575">
        <v>1556309</v>
      </c>
      <c r="M575">
        <v>25000</v>
      </c>
      <c r="N575" t="s">
        <v>137</v>
      </c>
      <c r="O575" t="s">
        <v>165</v>
      </c>
      <c r="P575" t="s">
        <v>156</v>
      </c>
      <c r="Q575" t="s">
        <v>21</v>
      </c>
    </row>
    <row r="576" spans="1:17" x14ac:dyDescent="0.25">
      <c r="A576" t="s">
        <v>1044</v>
      </c>
      <c r="B576" t="s">
        <v>219</v>
      </c>
      <c r="C576" t="s">
        <v>220</v>
      </c>
      <c r="D576" s="8">
        <v>46156</v>
      </c>
      <c r="E576" t="s">
        <v>26</v>
      </c>
      <c r="F576" t="s">
        <v>34</v>
      </c>
      <c r="G576" t="s">
        <v>34</v>
      </c>
      <c r="H576" t="s">
        <v>143</v>
      </c>
      <c r="I576" t="s">
        <v>147</v>
      </c>
      <c r="J576" t="s">
        <v>25</v>
      </c>
      <c r="K576">
        <v>2</v>
      </c>
      <c r="L576">
        <v>1329764</v>
      </c>
      <c r="M576">
        <v>0</v>
      </c>
      <c r="N576" t="s">
        <v>148</v>
      </c>
      <c r="O576" t="s">
        <v>149</v>
      </c>
      <c r="P576" t="s">
        <v>139</v>
      </c>
      <c r="Q576" t="s">
        <v>1318</v>
      </c>
    </row>
    <row r="577" spans="1:17" x14ac:dyDescent="0.25">
      <c r="A577" t="s">
        <v>1045</v>
      </c>
      <c r="B577" t="s">
        <v>582</v>
      </c>
      <c r="C577" t="s">
        <v>446</v>
      </c>
      <c r="D577" s="8">
        <v>46135</v>
      </c>
      <c r="E577" t="s">
        <v>117</v>
      </c>
      <c r="F577" t="s">
        <v>31</v>
      </c>
      <c r="G577" t="s">
        <v>31</v>
      </c>
      <c r="H577" t="s">
        <v>1315</v>
      </c>
      <c r="I577" t="s">
        <v>169</v>
      </c>
      <c r="J577" t="s">
        <v>29</v>
      </c>
      <c r="K577">
        <v>6</v>
      </c>
      <c r="L577">
        <v>1356814</v>
      </c>
      <c r="M577">
        <v>15000</v>
      </c>
      <c r="N577" t="s">
        <v>148</v>
      </c>
      <c r="O577" t="s">
        <v>165</v>
      </c>
      <c r="P577" t="s">
        <v>156</v>
      </c>
      <c r="Q577" t="s">
        <v>21</v>
      </c>
    </row>
    <row r="578" spans="1:17" x14ac:dyDescent="0.25">
      <c r="A578" t="s">
        <v>1046</v>
      </c>
      <c r="B578" t="s">
        <v>584</v>
      </c>
      <c r="C578" t="s">
        <v>189</v>
      </c>
      <c r="D578" s="8">
        <v>46077</v>
      </c>
      <c r="E578" t="s">
        <v>114</v>
      </c>
      <c r="F578" t="s">
        <v>27</v>
      </c>
      <c r="G578" t="s">
        <v>27</v>
      </c>
      <c r="H578" t="s">
        <v>28</v>
      </c>
      <c r="I578" t="s">
        <v>39</v>
      </c>
      <c r="J578" t="s">
        <v>35</v>
      </c>
      <c r="K578">
        <v>5</v>
      </c>
      <c r="L578">
        <v>1390691</v>
      </c>
      <c r="M578">
        <v>15000</v>
      </c>
      <c r="N578" t="s">
        <v>137</v>
      </c>
      <c r="O578" t="s">
        <v>138</v>
      </c>
      <c r="P578" t="s">
        <v>156</v>
      </c>
      <c r="Q578" t="s">
        <v>21</v>
      </c>
    </row>
    <row r="579" spans="1:17" x14ac:dyDescent="0.25">
      <c r="A579" t="s">
        <v>1047</v>
      </c>
      <c r="B579" t="s">
        <v>1002</v>
      </c>
      <c r="C579" t="s">
        <v>306</v>
      </c>
      <c r="D579" s="8">
        <v>46187</v>
      </c>
      <c r="E579" t="s">
        <v>113</v>
      </c>
      <c r="F579" t="s">
        <v>31</v>
      </c>
      <c r="G579" t="s">
        <v>31</v>
      </c>
      <c r="H579" t="s">
        <v>28</v>
      </c>
      <c r="I579" t="s">
        <v>169</v>
      </c>
      <c r="J579" t="s">
        <v>29</v>
      </c>
      <c r="K579">
        <v>7</v>
      </c>
      <c r="L579">
        <v>773794</v>
      </c>
      <c r="M579">
        <v>50000</v>
      </c>
      <c r="N579" t="s">
        <v>137</v>
      </c>
      <c r="O579" t="s">
        <v>138</v>
      </c>
      <c r="P579" t="s">
        <v>139</v>
      </c>
      <c r="Q579" t="s">
        <v>21</v>
      </c>
    </row>
    <row r="580" spans="1:17" x14ac:dyDescent="0.25">
      <c r="A580" t="s">
        <v>1048</v>
      </c>
      <c r="B580" t="s">
        <v>429</v>
      </c>
      <c r="C580" t="s">
        <v>164</v>
      </c>
      <c r="D580" s="8">
        <v>46146</v>
      </c>
      <c r="E580" t="s">
        <v>26</v>
      </c>
      <c r="F580" t="s">
        <v>34</v>
      </c>
      <c r="G580" t="s">
        <v>34</v>
      </c>
      <c r="H580" t="s">
        <v>143</v>
      </c>
      <c r="I580" t="s">
        <v>177</v>
      </c>
      <c r="J580" t="s">
        <v>29</v>
      </c>
      <c r="K580">
        <v>6</v>
      </c>
      <c r="L580">
        <v>1713300</v>
      </c>
      <c r="M580">
        <v>0</v>
      </c>
      <c r="N580" t="s">
        <v>43</v>
      </c>
      <c r="O580" t="s">
        <v>161</v>
      </c>
      <c r="P580" t="s">
        <v>139</v>
      </c>
      <c r="Q580" t="s">
        <v>1321</v>
      </c>
    </row>
    <row r="581" spans="1:17" x14ac:dyDescent="0.25">
      <c r="A581" t="s">
        <v>1049</v>
      </c>
      <c r="B581" t="s">
        <v>622</v>
      </c>
      <c r="C581" t="s">
        <v>623</v>
      </c>
      <c r="D581" s="8">
        <v>46053</v>
      </c>
      <c r="E581" t="s">
        <v>116</v>
      </c>
      <c r="F581" t="s">
        <v>23</v>
      </c>
      <c r="G581" t="s">
        <v>23</v>
      </c>
      <c r="H581" t="s">
        <v>143</v>
      </c>
      <c r="I581" t="s">
        <v>169</v>
      </c>
      <c r="J581" t="s">
        <v>29</v>
      </c>
      <c r="K581">
        <v>4</v>
      </c>
      <c r="L581">
        <v>946035</v>
      </c>
      <c r="M581">
        <v>25000</v>
      </c>
      <c r="N581" t="s">
        <v>137</v>
      </c>
      <c r="O581" t="s">
        <v>165</v>
      </c>
      <c r="P581" t="s">
        <v>139</v>
      </c>
      <c r="Q581" t="s">
        <v>21</v>
      </c>
    </row>
    <row r="582" spans="1:17" x14ac:dyDescent="0.25">
      <c r="A582" t="s">
        <v>1050</v>
      </c>
      <c r="B582" t="s">
        <v>459</v>
      </c>
      <c r="C582" t="s">
        <v>317</v>
      </c>
      <c r="D582" s="8">
        <v>46031</v>
      </c>
      <c r="E582" t="s">
        <v>116</v>
      </c>
      <c r="F582" t="s">
        <v>27</v>
      </c>
      <c r="G582" t="s">
        <v>27</v>
      </c>
      <c r="H582" t="s">
        <v>160</v>
      </c>
      <c r="I582" t="s">
        <v>173</v>
      </c>
      <c r="J582" t="s">
        <v>32</v>
      </c>
      <c r="K582">
        <v>3</v>
      </c>
      <c r="L582">
        <v>1791393</v>
      </c>
      <c r="M582">
        <v>0</v>
      </c>
      <c r="N582" t="s">
        <v>137</v>
      </c>
      <c r="O582" t="s">
        <v>161</v>
      </c>
      <c r="P582" t="s">
        <v>156</v>
      </c>
      <c r="Q582" t="s">
        <v>1318</v>
      </c>
    </row>
    <row r="583" spans="1:17" x14ac:dyDescent="0.25">
      <c r="A583" t="s">
        <v>1051</v>
      </c>
      <c r="B583" t="s">
        <v>736</v>
      </c>
      <c r="C583" t="s">
        <v>195</v>
      </c>
      <c r="D583" s="8">
        <v>25569</v>
      </c>
      <c r="E583" t="s">
        <v>116</v>
      </c>
      <c r="F583" t="s">
        <v>23</v>
      </c>
      <c r="G583" t="s">
        <v>23</v>
      </c>
      <c r="H583" t="s">
        <v>1315</v>
      </c>
      <c r="I583" t="s">
        <v>147</v>
      </c>
      <c r="J583" t="s">
        <v>25</v>
      </c>
      <c r="K583">
        <v>2</v>
      </c>
      <c r="L583">
        <v>886234</v>
      </c>
      <c r="M583">
        <v>15000</v>
      </c>
      <c r="N583" t="s">
        <v>137</v>
      </c>
      <c r="O583" t="s">
        <v>407</v>
      </c>
      <c r="P583" t="s">
        <v>156</v>
      </c>
      <c r="Q583" t="s">
        <v>121</v>
      </c>
    </row>
    <row r="584" spans="1:17" x14ac:dyDescent="0.25">
      <c r="A584" t="s">
        <v>1052</v>
      </c>
      <c r="B584" t="s">
        <v>253</v>
      </c>
      <c r="C584" t="s">
        <v>176</v>
      </c>
      <c r="D584" s="8">
        <v>46071</v>
      </c>
      <c r="E584" t="s">
        <v>114</v>
      </c>
      <c r="F584" t="s">
        <v>18</v>
      </c>
      <c r="G584" t="s">
        <v>18</v>
      </c>
      <c r="H584" t="s">
        <v>28</v>
      </c>
      <c r="I584" t="s">
        <v>39</v>
      </c>
      <c r="J584" t="s">
        <v>20</v>
      </c>
      <c r="K584">
        <v>5</v>
      </c>
      <c r="L584">
        <v>387046</v>
      </c>
      <c r="M584">
        <v>15000</v>
      </c>
      <c r="N584" t="s">
        <v>137</v>
      </c>
      <c r="O584" t="s">
        <v>161</v>
      </c>
      <c r="P584" t="s">
        <v>156</v>
      </c>
      <c r="Q584" t="s">
        <v>21</v>
      </c>
    </row>
    <row r="585" spans="1:17" x14ac:dyDescent="0.25">
      <c r="A585" t="s">
        <v>1053</v>
      </c>
      <c r="B585" t="s">
        <v>201</v>
      </c>
      <c r="C585" t="s">
        <v>202</v>
      </c>
      <c r="D585" s="8">
        <v>46185</v>
      </c>
      <c r="E585" t="s">
        <v>113</v>
      </c>
      <c r="F585" t="s">
        <v>18</v>
      </c>
      <c r="G585" t="s">
        <v>18</v>
      </c>
      <c r="H585" t="s">
        <v>160</v>
      </c>
      <c r="I585" t="s">
        <v>147</v>
      </c>
      <c r="J585" t="s">
        <v>35</v>
      </c>
      <c r="K585">
        <v>4</v>
      </c>
      <c r="L585">
        <v>426412</v>
      </c>
      <c r="M585">
        <v>15000</v>
      </c>
      <c r="N585" t="s">
        <v>137</v>
      </c>
      <c r="O585" t="s">
        <v>161</v>
      </c>
      <c r="P585" t="s">
        <v>156</v>
      </c>
      <c r="Q585" t="s">
        <v>21</v>
      </c>
    </row>
    <row r="586" spans="1:17" x14ac:dyDescent="0.25">
      <c r="A586" t="s">
        <v>1054</v>
      </c>
      <c r="B586" t="s">
        <v>242</v>
      </c>
      <c r="C586" t="s">
        <v>176</v>
      </c>
      <c r="D586" s="8">
        <v>46147</v>
      </c>
      <c r="E586" t="s">
        <v>26</v>
      </c>
      <c r="F586" t="s">
        <v>23</v>
      </c>
      <c r="G586" t="s">
        <v>23</v>
      </c>
      <c r="H586" t="s">
        <v>28</v>
      </c>
      <c r="I586" t="s">
        <v>169</v>
      </c>
      <c r="J586" t="s">
        <v>29</v>
      </c>
      <c r="K586">
        <v>1</v>
      </c>
      <c r="L586">
        <v>1378127</v>
      </c>
      <c r="M586">
        <v>50000</v>
      </c>
      <c r="N586" t="s">
        <v>137</v>
      </c>
      <c r="O586" t="s">
        <v>165</v>
      </c>
      <c r="P586" t="s">
        <v>139</v>
      </c>
      <c r="Q586" t="s">
        <v>21</v>
      </c>
    </row>
    <row r="587" spans="1:17" x14ac:dyDescent="0.25">
      <c r="A587" t="s">
        <v>1055</v>
      </c>
      <c r="B587" t="s">
        <v>618</v>
      </c>
      <c r="C587" t="s">
        <v>323</v>
      </c>
      <c r="D587" s="8">
        <v>46087</v>
      </c>
      <c r="E587" t="s">
        <v>115</v>
      </c>
      <c r="F587" t="s">
        <v>27</v>
      </c>
      <c r="G587" t="s">
        <v>27</v>
      </c>
      <c r="H587" t="s">
        <v>28</v>
      </c>
      <c r="I587" t="s">
        <v>147</v>
      </c>
      <c r="J587" t="s">
        <v>25</v>
      </c>
      <c r="K587">
        <v>3</v>
      </c>
      <c r="L587">
        <v>1827790</v>
      </c>
      <c r="M587">
        <v>50000</v>
      </c>
      <c r="N587" t="s">
        <v>137</v>
      </c>
      <c r="O587" t="s">
        <v>161</v>
      </c>
      <c r="P587" t="s">
        <v>139</v>
      </c>
      <c r="Q587" t="s">
        <v>21</v>
      </c>
    </row>
    <row r="588" spans="1:17" x14ac:dyDescent="0.25">
      <c r="A588" t="s">
        <v>1056</v>
      </c>
      <c r="B588" t="s">
        <v>233</v>
      </c>
      <c r="C588" t="s">
        <v>36</v>
      </c>
      <c r="D588" s="8">
        <v>46159</v>
      </c>
      <c r="E588" t="s">
        <v>26</v>
      </c>
      <c r="F588" t="s">
        <v>31</v>
      </c>
      <c r="G588" t="s">
        <v>31</v>
      </c>
      <c r="H588" t="s">
        <v>160</v>
      </c>
      <c r="I588" t="s">
        <v>177</v>
      </c>
      <c r="J588" t="s">
        <v>32</v>
      </c>
      <c r="L588">
        <v>1164473</v>
      </c>
      <c r="M588">
        <v>25000</v>
      </c>
      <c r="N588" t="s">
        <v>214</v>
      </c>
      <c r="O588" t="s">
        <v>138</v>
      </c>
      <c r="P588" t="s">
        <v>156</v>
      </c>
      <c r="Q588" t="s">
        <v>1319</v>
      </c>
    </row>
    <row r="589" spans="1:17" x14ac:dyDescent="0.25">
      <c r="A589" t="s">
        <v>1057</v>
      </c>
      <c r="B589" t="s">
        <v>201</v>
      </c>
      <c r="C589" t="s">
        <v>202</v>
      </c>
      <c r="D589" s="8">
        <v>46153</v>
      </c>
      <c r="E589" t="s">
        <v>26</v>
      </c>
      <c r="F589" t="s">
        <v>34</v>
      </c>
      <c r="G589" t="s">
        <v>34</v>
      </c>
      <c r="H589" t="s">
        <v>160</v>
      </c>
      <c r="I589" t="s">
        <v>39</v>
      </c>
      <c r="J589" t="s">
        <v>25</v>
      </c>
      <c r="K589">
        <v>2</v>
      </c>
      <c r="L589">
        <v>2093446</v>
      </c>
      <c r="M589">
        <v>35000</v>
      </c>
      <c r="N589" t="s">
        <v>137</v>
      </c>
      <c r="O589" t="s">
        <v>138</v>
      </c>
      <c r="P589" t="s">
        <v>156</v>
      </c>
      <c r="Q589" t="s">
        <v>21</v>
      </c>
    </row>
    <row r="590" spans="1:17" x14ac:dyDescent="0.25">
      <c r="A590" t="s">
        <v>1058</v>
      </c>
      <c r="B590" t="s">
        <v>1059</v>
      </c>
      <c r="C590" t="s">
        <v>328</v>
      </c>
      <c r="D590" s="8">
        <v>46050</v>
      </c>
      <c r="E590" t="s">
        <v>116</v>
      </c>
      <c r="F590" t="s">
        <v>27</v>
      </c>
      <c r="G590" t="s">
        <v>27</v>
      </c>
      <c r="H590" t="s">
        <v>28</v>
      </c>
      <c r="I590" t="s">
        <v>173</v>
      </c>
      <c r="J590" t="s">
        <v>25</v>
      </c>
      <c r="K590">
        <v>3</v>
      </c>
      <c r="L590">
        <v>1092251</v>
      </c>
      <c r="M590">
        <v>15000</v>
      </c>
      <c r="N590" t="s">
        <v>137</v>
      </c>
      <c r="O590" t="s">
        <v>161</v>
      </c>
      <c r="P590" t="s">
        <v>156</v>
      </c>
      <c r="Q590" t="s">
        <v>21</v>
      </c>
    </row>
    <row r="591" spans="1:17" x14ac:dyDescent="0.25">
      <c r="A591" t="s">
        <v>1060</v>
      </c>
      <c r="B591" t="s">
        <v>705</v>
      </c>
      <c r="C591" t="s">
        <v>502</v>
      </c>
      <c r="D591" s="8">
        <v>46195</v>
      </c>
      <c r="E591" t="s">
        <v>113</v>
      </c>
      <c r="F591" t="s">
        <v>18</v>
      </c>
      <c r="G591" t="s">
        <v>18</v>
      </c>
      <c r="H591" t="s">
        <v>143</v>
      </c>
      <c r="I591" t="s">
        <v>147</v>
      </c>
      <c r="J591" t="s">
        <v>29</v>
      </c>
      <c r="K591">
        <v>2</v>
      </c>
      <c r="L591">
        <v>768429</v>
      </c>
      <c r="M591">
        <v>25000</v>
      </c>
      <c r="N591" t="s">
        <v>137</v>
      </c>
      <c r="O591" t="s">
        <v>390</v>
      </c>
      <c r="P591" t="s">
        <v>139</v>
      </c>
      <c r="Q591" t="s">
        <v>21</v>
      </c>
    </row>
    <row r="592" spans="1:17" x14ac:dyDescent="0.25">
      <c r="A592" t="s">
        <v>1061</v>
      </c>
      <c r="B592" t="s">
        <v>934</v>
      </c>
      <c r="C592" t="s">
        <v>380</v>
      </c>
      <c r="D592" s="8">
        <v>46058</v>
      </c>
      <c r="E592" t="s">
        <v>114</v>
      </c>
      <c r="F592" t="s">
        <v>34</v>
      </c>
      <c r="G592" t="s">
        <v>34</v>
      </c>
      <c r="H592" t="s">
        <v>1315</v>
      </c>
      <c r="I592" t="s">
        <v>177</v>
      </c>
      <c r="J592" t="s">
        <v>25</v>
      </c>
      <c r="K592">
        <v>2</v>
      </c>
      <c r="L592">
        <v>1868643</v>
      </c>
      <c r="M592">
        <v>25000</v>
      </c>
      <c r="N592" t="s">
        <v>43</v>
      </c>
      <c r="O592" t="s">
        <v>138</v>
      </c>
      <c r="P592" t="s">
        <v>139</v>
      </c>
      <c r="Q592" t="s">
        <v>38</v>
      </c>
    </row>
    <row r="593" spans="1:17" x14ac:dyDescent="0.25">
      <c r="A593" t="s">
        <v>1062</v>
      </c>
      <c r="B593" t="s">
        <v>222</v>
      </c>
      <c r="C593" t="s">
        <v>223</v>
      </c>
      <c r="D593" s="8">
        <v>46113</v>
      </c>
      <c r="E593" t="s">
        <v>117</v>
      </c>
      <c r="F593" t="s">
        <v>31</v>
      </c>
      <c r="G593" t="s">
        <v>31</v>
      </c>
      <c r="H593" t="s">
        <v>160</v>
      </c>
      <c r="I593" t="s">
        <v>39</v>
      </c>
      <c r="J593" t="s">
        <v>20</v>
      </c>
      <c r="K593">
        <v>3</v>
      </c>
      <c r="L593">
        <v>1442659</v>
      </c>
      <c r="M593">
        <v>35000</v>
      </c>
      <c r="N593" t="s">
        <v>137</v>
      </c>
      <c r="O593" t="s">
        <v>138</v>
      </c>
      <c r="P593" t="s">
        <v>139</v>
      </c>
      <c r="Q593" t="s">
        <v>21</v>
      </c>
    </row>
    <row r="594" spans="1:17" x14ac:dyDescent="0.25">
      <c r="A594" t="s">
        <v>1063</v>
      </c>
      <c r="B594" t="s">
        <v>678</v>
      </c>
      <c r="C594" t="s">
        <v>679</v>
      </c>
      <c r="D594" s="8">
        <v>46188</v>
      </c>
      <c r="E594" t="s">
        <v>113</v>
      </c>
      <c r="F594" t="s">
        <v>18</v>
      </c>
      <c r="G594" t="s">
        <v>18</v>
      </c>
      <c r="H594" t="s">
        <v>143</v>
      </c>
      <c r="I594" t="s">
        <v>169</v>
      </c>
      <c r="J594" t="s">
        <v>25</v>
      </c>
      <c r="K594">
        <v>7</v>
      </c>
      <c r="L594">
        <v>706910</v>
      </c>
      <c r="M594">
        <v>35000</v>
      </c>
      <c r="N594" t="s">
        <v>137</v>
      </c>
      <c r="O594" t="s">
        <v>165</v>
      </c>
      <c r="P594" t="s">
        <v>139</v>
      </c>
      <c r="Q594" t="s">
        <v>21</v>
      </c>
    </row>
    <row r="595" spans="1:17" x14ac:dyDescent="0.25">
      <c r="A595" t="s">
        <v>1064</v>
      </c>
      <c r="B595" t="s">
        <v>269</v>
      </c>
      <c r="C595" t="s">
        <v>180</v>
      </c>
      <c r="D595" s="8">
        <v>46118</v>
      </c>
      <c r="E595" t="s">
        <v>117</v>
      </c>
      <c r="F595" t="s">
        <v>18</v>
      </c>
      <c r="G595" t="s">
        <v>18</v>
      </c>
      <c r="H595" t="s">
        <v>143</v>
      </c>
      <c r="I595" t="s">
        <v>147</v>
      </c>
      <c r="J595" t="s">
        <v>35</v>
      </c>
      <c r="K595">
        <v>4</v>
      </c>
      <c r="L595">
        <v>219316</v>
      </c>
      <c r="M595">
        <v>25000</v>
      </c>
      <c r="N595" t="s">
        <v>148</v>
      </c>
      <c r="O595" t="s">
        <v>165</v>
      </c>
      <c r="P595" t="s">
        <v>139</v>
      </c>
      <c r="Q595" t="s">
        <v>21</v>
      </c>
    </row>
    <row r="596" spans="1:17" x14ac:dyDescent="0.25">
      <c r="A596" t="s">
        <v>1065</v>
      </c>
      <c r="B596" t="s">
        <v>1066</v>
      </c>
      <c r="C596" t="s">
        <v>146</v>
      </c>
      <c r="D596" s="8">
        <v>46093</v>
      </c>
      <c r="E596" t="s">
        <v>115</v>
      </c>
      <c r="F596" t="s">
        <v>27</v>
      </c>
      <c r="G596" t="s">
        <v>27</v>
      </c>
      <c r="H596" t="s">
        <v>28</v>
      </c>
      <c r="I596" t="s">
        <v>173</v>
      </c>
      <c r="J596" t="s">
        <v>32</v>
      </c>
      <c r="K596">
        <v>2</v>
      </c>
      <c r="L596">
        <v>568096</v>
      </c>
      <c r="M596">
        <v>0</v>
      </c>
      <c r="N596" t="s">
        <v>262</v>
      </c>
      <c r="O596" t="s">
        <v>138</v>
      </c>
      <c r="P596" t="s">
        <v>139</v>
      </c>
      <c r="Q596" t="s">
        <v>1318</v>
      </c>
    </row>
    <row r="597" spans="1:17" x14ac:dyDescent="0.25">
      <c r="A597" t="s">
        <v>1067</v>
      </c>
      <c r="B597" t="s">
        <v>486</v>
      </c>
      <c r="C597" t="s">
        <v>172</v>
      </c>
      <c r="D597" s="8">
        <v>46094</v>
      </c>
      <c r="E597" t="s">
        <v>115</v>
      </c>
      <c r="F597" t="s">
        <v>27</v>
      </c>
      <c r="G597" t="s">
        <v>27</v>
      </c>
      <c r="H597" t="s">
        <v>1315</v>
      </c>
      <c r="I597" t="s">
        <v>39</v>
      </c>
      <c r="J597" t="s">
        <v>25</v>
      </c>
      <c r="K597">
        <v>1</v>
      </c>
      <c r="L597">
        <v>1692943</v>
      </c>
      <c r="M597">
        <v>0</v>
      </c>
      <c r="N597" t="s">
        <v>137</v>
      </c>
      <c r="O597" t="s">
        <v>161</v>
      </c>
      <c r="P597" t="s">
        <v>156</v>
      </c>
      <c r="Q597" t="s">
        <v>1318</v>
      </c>
    </row>
    <row r="598" spans="1:17" x14ac:dyDescent="0.25">
      <c r="A598" t="s">
        <v>1068</v>
      </c>
      <c r="B598" t="s">
        <v>257</v>
      </c>
      <c r="C598" t="s">
        <v>258</v>
      </c>
      <c r="D598" s="8">
        <v>46057</v>
      </c>
      <c r="E598" t="s">
        <v>114</v>
      </c>
      <c r="F598" t="s">
        <v>18</v>
      </c>
      <c r="G598" t="s">
        <v>18</v>
      </c>
      <c r="H598" t="s">
        <v>1315</v>
      </c>
      <c r="I598" t="s">
        <v>147</v>
      </c>
      <c r="J598" t="s">
        <v>29</v>
      </c>
      <c r="K598">
        <v>7</v>
      </c>
      <c r="L598">
        <v>430331</v>
      </c>
      <c r="M598">
        <v>25000</v>
      </c>
      <c r="N598" t="s">
        <v>137</v>
      </c>
      <c r="O598" t="s">
        <v>165</v>
      </c>
      <c r="P598" t="s">
        <v>156</v>
      </c>
      <c r="Q598" t="s">
        <v>21</v>
      </c>
    </row>
    <row r="599" spans="1:17" x14ac:dyDescent="0.25">
      <c r="A599" t="s">
        <v>1069</v>
      </c>
      <c r="B599" t="s">
        <v>683</v>
      </c>
      <c r="C599" t="s">
        <v>684</v>
      </c>
      <c r="D599" s="8">
        <v>46085</v>
      </c>
      <c r="E599" t="s">
        <v>115</v>
      </c>
      <c r="F599" t="s">
        <v>27</v>
      </c>
      <c r="G599" t="s">
        <v>27</v>
      </c>
      <c r="H599" t="s">
        <v>1315</v>
      </c>
      <c r="I599" t="s">
        <v>169</v>
      </c>
      <c r="J599" t="s">
        <v>20</v>
      </c>
      <c r="K599">
        <v>5</v>
      </c>
      <c r="L599">
        <v>1495069</v>
      </c>
      <c r="M599">
        <v>50000</v>
      </c>
      <c r="N599" t="s">
        <v>137</v>
      </c>
      <c r="O599" t="s">
        <v>161</v>
      </c>
      <c r="P599" t="s">
        <v>156</v>
      </c>
      <c r="Q599" t="s">
        <v>21</v>
      </c>
    </row>
    <row r="600" spans="1:17" x14ac:dyDescent="0.25">
      <c r="A600" t="s">
        <v>1070</v>
      </c>
      <c r="B600" t="s">
        <v>632</v>
      </c>
      <c r="C600" t="s">
        <v>314</v>
      </c>
      <c r="D600" s="8">
        <v>46040</v>
      </c>
      <c r="E600" t="s">
        <v>116</v>
      </c>
      <c r="F600" t="s">
        <v>18</v>
      </c>
      <c r="G600" t="s">
        <v>18</v>
      </c>
      <c r="H600" t="s">
        <v>1315</v>
      </c>
      <c r="I600" t="s">
        <v>39</v>
      </c>
      <c r="J600" t="s">
        <v>29</v>
      </c>
      <c r="K600">
        <v>7</v>
      </c>
      <c r="L600">
        <v>1436848</v>
      </c>
      <c r="M600">
        <v>25000</v>
      </c>
      <c r="N600" t="s">
        <v>137</v>
      </c>
      <c r="O600" t="s">
        <v>165</v>
      </c>
      <c r="P600" t="s">
        <v>139</v>
      </c>
      <c r="Q600" t="s">
        <v>21</v>
      </c>
    </row>
    <row r="601" spans="1:17" x14ac:dyDescent="0.25">
      <c r="A601" t="s">
        <v>1071</v>
      </c>
      <c r="B601" t="s">
        <v>644</v>
      </c>
      <c r="C601" t="s">
        <v>337</v>
      </c>
      <c r="D601" s="8">
        <v>46108</v>
      </c>
      <c r="E601" t="s">
        <v>115</v>
      </c>
      <c r="F601" t="s">
        <v>18</v>
      </c>
      <c r="G601" t="s">
        <v>18</v>
      </c>
      <c r="H601" t="s">
        <v>160</v>
      </c>
      <c r="I601" t="s">
        <v>169</v>
      </c>
      <c r="J601" t="s">
        <v>32</v>
      </c>
      <c r="K601">
        <v>3</v>
      </c>
      <c r="L601">
        <v>954604</v>
      </c>
      <c r="M601">
        <v>25000</v>
      </c>
      <c r="N601" t="s">
        <v>137</v>
      </c>
      <c r="O601" t="s">
        <v>149</v>
      </c>
      <c r="P601" t="s">
        <v>139</v>
      </c>
      <c r="Q601" t="s">
        <v>21</v>
      </c>
    </row>
    <row r="602" spans="1:17" x14ac:dyDescent="0.25">
      <c r="A602" t="s">
        <v>1072</v>
      </c>
      <c r="B602" t="s">
        <v>413</v>
      </c>
      <c r="C602" t="s">
        <v>210</v>
      </c>
      <c r="D602" s="8">
        <v>46147</v>
      </c>
      <c r="E602" t="s">
        <v>26</v>
      </c>
      <c r="F602" t="s">
        <v>23</v>
      </c>
      <c r="G602" t="s">
        <v>23</v>
      </c>
      <c r="H602" t="s">
        <v>28</v>
      </c>
      <c r="I602" t="s">
        <v>173</v>
      </c>
      <c r="J602" t="s">
        <v>35</v>
      </c>
      <c r="K602">
        <v>1</v>
      </c>
      <c r="M602">
        <v>50000</v>
      </c>
      <c r="N602" t="s">
        <v>43</v>
      </c>
      <c r="O602" t="s">
        <v>138</v>
      </c>
      <c r="P602" t="s">
        <v>139</v>
      </c>
      <c r="Q602" t="s">
        <v>1317</v>
      </c>
    </row>
    <row r="603" spans="1:17" x14ac:dyDescent="0.25">
      <c r="A603" t="s">
        <v>1073</v>
      </c>
      <c r="B603" t="s">
        <v>467</v>
      </c>
      <c r="C603" t="s">
        <v>198</v>
      </c>
      <c r="D603" s="8">
        <v>46160</v>
      </c>
      <c r="E603" t="s">
        <v>26</v>
      </c>
      <c r="F603" t="s">
        <v>23</v>
      </c>
      <c r="G603" t="s">
        <v>23</v>
      </c>
      <c r="H603" t="s">
        <v>160</v>
      </c>
      <c r="I603" t="s">
        <v>147</v>
      </c>
      <c r="J603" t="s">
        <v>20</v>
      </c>
      <c r="K603">
        <v>5</v>
      </c>
      <c r="L603">
        <v>2183637</v>
      </c>
      <c r="M603">
        <v>25000</v>
      </c>
      <c r="N603" t="s">
        <v>137</v>
      </c>
      <c r="O603" t="s">
        <v>161</v>
      </c>
      <c r="P603" t="s">
        <v>156</v>
      </c>
      <c r="Q603" t="s">
        <v>21</v>
      </c>
    </row>
    <row r="604" spans="1:17" x14ac:dyDescent="0.25">
      <c r="A604" t="s">
        <v>1074</v>
      </c>
      <c r="B604" t="s">
        <v>389</v>
      </c>
      <c r="C604" t="s">
        <v>146</v>
      </c>
      <c r="D604" s="8">
        <v>46154</v>
      </c>
      <c r="E604" t="s">
        <v>26</v>
      </c>
      <c r="F604" t="s">
        <v>23</v>
      </c>
      <c r="G604" t="s">
        <v>23</v>
      </c>
      <c r="H604" t="s">
        <v>28</v>
      </c>
      <c r="I604" t="s">
        <v>136</v>
      </c>
      <c r="J604" t="s">
        <v>32</v>
      </c>
      <c r="K604">
        <v>4</v>
      </c>
      <c r="L604">
        <v>487967</v>
      </c>
      <c r="M604">
        <v>50000</v>
      </c>
      <c r="N604" t="s">
        <v>137</v>
      </c>
      <c r="O604" t="s">
        <v>149</v>
      </c>
      <c r="P604" t="s">
        <v>139</v>
      </c>
      <c r="Q604" t="s">
        <v>21</v>
      </c>
    </row>
    <row r="605" spans="1:17" x14ac:dyDescent="0.25">
      <c r="A605" t="s">
        <v>1075</v>
      </c>
      <c r="B605" t="s">
        <v>1076</v>
      </c>
      <c r="C605" t="s">
        <v>441</v>
      </c>
      <c r="D605" s="8">
        <v>46061</v>
      </c>
      <c r="E605" t="s">
        <v>114</v>
      </c>
      <c r="F605" t="s">
        <v>27</v>
      </c>
      <c r="G605" t="s">
        <v>27</v>
      </c>
      <c r="H605" t="s">
        <v>28</v>
      </c>
      <c r="I605" t="s">
        <v>173</v>
      </c>
      <c r="J605" t="s">
        <v>32</v>
      </c>
      <c r="K605">
        <v>2</v>
      </c>
      <c r="L605">
        <v>1505921</v>
      </c>
      <c r="M605">
        <v>0</v>
      </c>
      <c r="N605" t="s">
        <v>137</v>
      </c>
      <c r="O605" t="s">
        <v>161</v>
      </c>
      <c r="P605" t="s">
        <v>139</v>
      </c>
      <c r="Q605" t="s">
        <v>1318</v>
      </c>
    </row>
    <row r="606" spans="1:17" x14ac:dyDescent="0.25">
      <c r="A606" t="s">
        <v>1077</v>
      </c>
      <c r="B606" t="s">
        <v>207</v>
      </c>
      <c r="C606" t="s">
        <v>168</v>
      </c>
      <c r="D606" s="8">
        <v>46182</v>
      </c>
      <c r="E606" t="s">
        <v>113</v>
      </c>
      <c r="F606" t="s">
        <v>34</v>
      </c>
      <c r="G606" t="s">
        <v>34</v>
      </c>
      <c r="H606" t="s">
        <v>143</v>
      </c>
      <c r="I606" t="s">
        <v>147</v>
      </c>
      <c r="J606" t="s">
        <v>25</v>
      </c>
      <c r="K606">
        <v>1</v>
      </c>
      <c r="L606">
        <v>1755558</v>
      </c>
      <c r="M606">
        <v>0</v>
      </c>
      <c r="N606" t="s">
        <v>137</v>
      </c>
      <c r="O606" t="s">
        <v>138</v>
      </c>
      <c r="P606" t="s">
        <v>139</v>
      </c>
      <c r="Q606" t="s">
        <v>1318</v>
      </c>
    </row>
    <row r="607" spans="1:17" x14ac:dyDescent="0.25">
      <c r="A607" t="s">
        <v>1078</v>
      </c>
      <c r="B607" t="s">
        <v>642</v>
      </c>
      <c r="C607" t="s">
        <v>272</v>
      </c>
      <c r="D607" s="8">
        <v>46193</v>
      </c>
      <c r="E607" t="s">
        <v>113</v>
      </c>
      <c r="F607" t="s">
        <v>18</v>
      </c>
      <c r="G607" t="s">
        <v>18</v>
      </c>
      <c r="H607" t="s">
        <v>143</v>
      </c>
      <c r="I607" t="s">
        <v>177</v>
      </c>
      <c r="J607" t="s">
        <v>25</v>
      </c>
      <c r="K607">
        <v>3</v>
      </c>
      <c r="L607">
        <v>960251</v>
      </c>
      <c r="M607">
        <v>50000</v>
      </c>
      <c r="N607" t="s">
        <v>148</v>
      </c>
      <c r="O607" t="s">
        <v>165</v>
      </c>
      <c r="P607" t="s">
        <v>156</v>
      </c>
      <c r="Q607" t="s">
        <v>21</v>
      </c>
    </row>
    <row r="608" spans="1:17" x14ac:dyDescent="0.25">
      <c r="A608" t="s">
        <v>1079</v>
      </c>
      <c r="B608" t="s">
        <v>286</v>
      </c>
      <c r="C608" t="s">
        <v>287</v>
      </c>
      <c r="D608" s="8">
        <v>46029</v>
      </c>
      <c r="E608" t="s">
        <v>116</v>
      </c>
      <c r="F608" t="s">
        <v>34</v>
      </c>
      <c r="G608" t="s">
        <v>34</v>
      </c>
      <c r="H608" t="s">
        <v>160</v>
      </c>
      <c r="I608" t="s">
        <v>136</v>
      </c>
      <c r="J608" t="s">
        <v>25</v>
      </c>
      <c r="K608">
        <v>7</v>
      </c>
      <c r="L608">
        <v>2357334</v>
      </c>
      <c r="M608">
        <v>50000</v>
      </c>
      <c r="N608" t="s">
        <v>137</v>
      </c>
      <c r="O608" t="s">
        <v>161</v>
      </c>
      <c r="P608" t="s">
        <v>156</v>
      </c>
      <c r="Q608" t="s">
        <v>21</v>
      </c>
    </row>
    <row r="609" spans="1:17" x14ac:dyDescent="0.25">
      <c r="A609" t="s">
        <v>1080</v>
      </c>
      <c r="B609" t="s">
        <v>506</v>
      </c>
      <c r="C609" t="s">
        <v>189</v>
      </c>
      <c r="D609" s="8">
        <v>46076</v>
      </c>
      <c r="E609" t="s">
        <v>114</v>
      </c>
      <c r="F609" t="s">
        <v>18</v>
      </c>
      <c r="G609" t="s">
        <v>18</v>
      </c>
      <c r="H609" t="s">
        <v>1315</v>
      </c>
      <c r="I609" t="s">
        <v>173</v>
      </c>
      <c r="J609" t="s">
        <v>29</v>
      </c>
      <c r="K609">
        <v>2</v>
      </c>
      <c r="L609">
        <v>965997</v>
      </c>
      <c r="M609">
        <v>25000</v>
      </c>
      <c r="N609" t="s">
        <v>137</v>
      </c>
      <c r="O609" t="s">
        <v>161</v>
      </c>
      <c r="P609" t="s">
        <v>139</v>
      </c>
      <c r="Q609" t="s">
        <v>21</v>
      </c>
    </row>
    <row r="610" spans="1:17" x14ac:dyDescent="0.25">
      <c r="A610" t="s">
        <v>1081</v>
      </c>
      <c r="B610" t="s">
        <v>469</v>
      </c>
      <c r="C610" t="s">
        <v>281</v>
      </c>
      <c r="D610" s="8">
        <v>46119</v>
      </c>
      <c r="E610" t="s">
        <v>117</v>
      </c>
      <c r="F610" t="s">
        <v>31</v>
      </c>
      <c r="G610" t="s">
        <v>31</v>
      </c>
      <c r="H610" t="s">
        <v>160</v>
      </c>
      <c r="I610" t="s">
        <v>39</v>
      </c>
      <c r="J610" t="s">
        <v>32</v>
      </c>
      <c r="K610">
        <v>7</v>
      </c>
      <c r="L610">
        <v>226635</v>
      </c>
      <c r="M610">
        <v>35000</v>
      </c>
      <c r="N610" t="s">
        <v>137</v>
      </c>
      <c r="O610" t="s">
        <v>138</v>
      </c>
      <c r="P610" t="s">
        <v>139</v>
      </c>
      <c r="Q610" t="s">
        <v>21</v>
      </c>
    </row>
    <row r="611" spans="1:17" x14ac:dyDescent="0.25">
      <c r="A611" t="s">
        <v>1082</v>
      </c>
      <c r="B611" t="s">
        <v>800</v>
      </c>
      <c r="C611" t="s">
        <v>192</v>
      </c>
      <c r="D611" s="8">
        <v>46075</v>
      </c>
      <c r="E611" t="s">
        <v>114</v>
      </c>
      <c r="F611" t="s">
        <v>27</v>
      </c>
      <c r="G611" t="s">
        <v>27</v>
      </c>
      <c r="H611" t="s">
        <v>160</v>
      </c>
      <c r="I611" t="s">
        <v>177</v>
      </c>
      <c r="J611" t="s">
        <v>29</v>
      </c>
      <c r="K611">
        <v>7</v>
      </c>
      <c r="L611">
        <v>1715953</v>
      </c>
      <c r="M611">
        <v>50000</v>
      </c>
      <c r="N611" t="s">
        <v>137</v>
      </c>
      <c r="O611" t="s">
        <v>149</v>
      </c>
      <c r="P611" t="s">
        <v>156</v>
      </c>
      <c r="Q611" t="s">
        <v>21</v>
      </c>
    </row>
    <row r="612" spans="1:17" x14ac:dyDescent="0.25">
      <c r="A612" t="s">
        <v>1083</v>
      </c>
      <c r="B612" t="s">
        <v>835</v>
      </c>
      <c r="C612" t="s">
        <v>297</v>
      </c>
      <c r="D612" s="8">
        <v>46177</v>
      </c>
      <c r="E612" t="s">
        <v>113</v>
      </c>
      <c r="F612" t="s">
        <v>27</v>
      </c>
      <c r="G612" t="s">
        <v>27</v>
      </c>
      <c r="H612" t="s">
        <v>1315</v>
      </c>
      <c r="I612" t="s">
        <v>39</v>
      </c>
      <c r="J612" t="s">
        <v>25</v>
      </c>
      <c r="K612">
        <v>4</v>
      </c>
      <c r="L612">
        <v>1623198</v>
      </c>
      <c r="M612">
        <v>25000</v>
      </c>
      <c r="N612" t="s">
        <v>137</v>
      </c>
      <c r="O612" t="s">
        <v>149</v>
      </c>
      <c r="P612" t="s">
        <v>156</v>
      </c>
      <c r="Q612" t="s">
        <v>21</v>
      </c>
    </row>
    <row r="613" spans="1:17" x14ac:dyDescent="0.25">
      <c r="A613" t="s">
        <v>1084</v>
      </c>
      <c r="B613" t="s">
        <v>353</v>
      </c>
      <c r="C613" t="s">
        <v>202</v>
      </c>
      <c r="D613" s="8">
        <v>46027</v>
      </c>
      <c r="E613" t="s">
        <v>116</v>
      </c>
      <c r="F613" t="s">
        <v>23</v>
      </c>
      <c r="G613" t="s">
        <v>23</v>
      </c>
      <c r="H613" t="s">
        <v>1315</v>
      </c>
      <c r="I613" t="s">
        <v>136</v>
      </c>
      <c r="J613" t="s">
        <v>25</v>
      </c>
      <c r="K613">
        <v>7</v>
      </c>
      <c r="L613">
        <v>150432</v>
      </c>
      <c r="M613">
        <v>35000</v>
      </c>
      <c r="N613" t="s">
        <v>137</v>
      </c>
      <c r="O613" t="s">
        <v>149</v>
      </c>
      <c r="P613" t="s">
        <v>156</v>
      </c>
      <c r="Q613" t="s">
        <v>21</v>
      </c>
    </row>
    <row r="614" spans="1:17" x14ac:dyDescent="0.25">
      <c r="A614" t="s">
        <v>1085</v>
      </c>
      <c r="B614" t="s">
        <v>479</v>
      </c>
      <c r="C614" t="s">
        <v>164</v>
      </c>
      <c r="D614" s="8">
        <v>46189</v>
      </c>
      <c r="E614" t="s">
        <v>113</v>
      </c>
      <c r="F614" t="s">
        <v>31</v>
      </c>
      <c r="G614" t="s">
        <v>31</v>
      </c>
      <c r="H614" t="s">
        <v>28</v>
      </c>
      <c r="I614" t="s">
        <v>173</v>
      </c>
      <c r="J614" t="s">
        <v>25</v>
      </c>
      <c r="K614">
        <v>6</v>
      </c>
      <c r="L614" t="s">
        <v>1086</v>
      </c>
      <c r="M614">
        <v>15000</v>
      </c>
      <c r="N614" t="s">
        <v>137</v>
      </c>
      <c r="O614" t="s">
        <v>138</v>
      </c>
      <c r="P614" t="s">
        <v>139</v>
      </c>
      <c r="Q614" t="s">
        <v>21</v>
      </c>
    </row>
    <row r="615" spans="1:17" x14ac:dyDescent="0.25">
      <c r="A615" t="s">
        <v>1087</v>
      </c>
      <c r="B615" t="s">
        <v>154</v>
      </c>
      <c r="C615" t="s">
        <v>155</v>
      </c>
      <c r="D615" s="8">
        <v>46059</v>
      </c>
      <c r="E615" t="s">
        <v>114</v>
      </c>
      <c r="F615" t="s">
        <v>18</v>
      </c>
      <c r="G615" t="s">
        <v>18</v>
      </c>
      <c r="H615" t="s">
        <v>28</v>
      </c>
      <c r="I615" t="s">
        <v>173</v>
      </c>
      <c r="J615" t="s">
        <v>20</v>
      </c>
      <c r="K615">
        <v>5</v>
      </c>
      <c r="L615">
        <v>1164373</v>
      </c>
      <c r="M615">
        <v>15000</v>
      </c>
      <c r="N615" t="s">
        <v>137</v>
      </c>
      <c r="O615" t="s">
        <v>138</v>
      </c>
      <c r="P615" t="s">
        <v>156</v>
      </c>
      <c r="Q615" t="s">
        <v>21</v>
      </c>
    </row>
    <row r="616" spans="1:17" x14ac:dyDescent="0.25">
      <c r="A616" t="s">
        <v>1088</v>
      </c>
      <c r="B616" t="s">
        <v>473</v>
      </c>
      <c r="C616" t="s">
        <v>320</v>
      </c>
      <c r="D616" s="8">
        <v>46192</v>
      </c>
      <c r="E616" t="s">
        <v>113</v>
      </c>
      <c r="F616" t="s">
        <v>18</v>
      </c>
      <c r="G616" t="s">
        <v>18</v>
      </c>
      <c r="H616" t="s">
        <v>143</v>
      </c>
      <c r="I616" t="s">
        <v>147</v>
      </c>
      <c r="J616" t="s">
        <v>29</v>
      </c>
      <c r="K616">
        <v>5</v>
      </c>
      <c r="L616">
        <v>1349285</v>
      </c>
      <c r="M616">
        <v>25000</v>
      </c>
      <c r="N616" t="s">
        <v>137</v>
      </c>
      <c r="O616" t="s">
        <v>161</v>
      </c>
      <c r="P616" t="s">
        <v>156</v>
      </c>
      <c r="Q616" t="s">
        <v>21</v>
      </c>
    </row>
    <row r="617" spans="1:17" x14ac:dyDescent="0.25">
      <c r="A617" t="s">
        <v>1089</v>
      </c>
      <c r="B617" t="s">
        <v>322</v>
      </c>
      <c r="C617" t="s">
        <v>323</v>
      </c>
      <c r="D617" s="8">
        <v>46051</v>
      </c>
      <c r="E617" t="s">
        <v>116</v>
      </c>
      <c r="F617" t="s">
        <v>34</v>
      </c>
      <c r="G617" t="s">
        <v>34</v>
      </c>
      <c r="H617" t="s">
        <v>1315</v>
      </c>
      <c r="I617" t="s">
        <v>147</v>
      </c>
      <c r="J617" t="s">
        <v>25</v>
      </c>
      <c r="K617">
        <v>4</v>
      </c>
      <c r="L617">
        <v>801044</v>
      </c>
      <c r="M617">
        <v>0</v>
      </c>
      <c r="N617" t="s">
        <v>137</v>
      </c>
      <c r="O617" t="s">
        <v>138</v>
      </c>
      <c r="P617" t="s">
        <v>156</v>
      </c>
      <c r="Q617" t="s">
        <v>1318</v>
      </c>
    </row>
    <row r="618" spans="1:17" x14ac:dyDescent="0.25">
      <c r="A618" t="s">
        <v>1090</v>
      </c>
      <c r="B618" t="s">
        <v>431</v>
      </c>
      <c r="C618" t="s">
        <v>340</v>
      </c>
      <c r="D618" s="8">
        <v>46029</v>
      </c>
      <c r="E618" t="s">
        <v>116</v>
      </c>
      <c r="F618" t="s">
        <v>31</v>
      </c>
      <c r="G618" t="s">
        <v>31</v>
      </c>
      <c r="H618" t="s">
        <v>160</v>
      </c>
      <c r="I618" t="s">
        <v>147</v>
      </c>
      <c r="J618" t="s">
        <v>32</v>
      </c>
      <c r="K618">
        <v>4</v>
      </c>
      <c r="L618">
        <v>1510755</v>
      </c>
      <c r="M618">
        <v>0</v>
      </c>
      <c r="N618" t="s">
        <v>137</v>
      </c>
      <c r="O618" t="s">
        <v>165</v>
      </c>
      <c r="P618" t="s">
        <v>156</v>
      </c>
      <c r="Q618" t="s">
        <v>1318</v>
      </c>
    </row>
    <row r="619" spans="1:17" x14ac:dyDescent="0.25">
      <c r="A619" t="s">
        <v>1091</v>
      </c>
      <c r="B619" t="s">
        <v>795</v>
      </c>
      <c r="C619" t="s">
        <v>435</v>
      </c>
      <c r="D619" s="8">
        <v>46048</v>
      </c>
      <c r="E619" t="s">
        <v>116</v>
      </c>
      <c r="F619" t="s">
        <v>23</v>
      </c>
      <c r="G619" t="s">
        <v>23</v>
      </c>
      <c r="H619" t="s">
        <v>28</v>
      </c>
      <c r="I619" t="s">
        <v>39</v>
      </c>
      <c r="J619" t="s">
        <v>32</v>
      </c>
      <c r="K619">
        <v>2</v>
      </c>
      <c r="L619">
        <v>182656</v>
      </c>
      <c r="M619">
        <v>25000</v>
      </c>
      <c r="N619" t="s">
        <v>137</v>
      </c>
      <c r="O619" t="s">
        <v>149</v>
      </c>
      <c r="P619" t="s">
        <v>139</v>
      </c>
      <c r="Q619" t="s">
        <v>21</v>
      </c>
    </row>
    <row r="620" spans="1:17" x14ac:dyDescent="0.25">
      <c r="A620" t="s">
        <v>1092</v>
      </c>
      <c r="B620" t="s">
        <v>330</v>
      </c>
      <c r="C620" t="s">
        <v>331</v>
      </c>
      <c r="D620" s="8">
        <v>46177</v>
      </c>
      <c r="E620" t="s">
        <v>113</v>
      </c>
      <c r="F620" t="s">
        <v>18</v>
      </c>
      <c r="G620" t="s">
        <v>18</v>
      </c>
      <c r="H620" t="s">
        <v>1315</v>
      </c>
      <c r="I620" t="s">
        <v>169</v>
      </c>
      <c r="J620" t="s">
        <v>35</v>
      </c>
      <c r="K620">
        <v>4</v>
      </c>
      <c r="L620">
        <v>123026</v>
      </c>
      <c r="M620">
        <v>25000</v>
      </c>
      <c r="N620" t="s">
        <v>137</v>
      </c>
      <c r="O620" t="s">
        <v>165</v>
      </c>
      <c r="P620" t="s">
        <v>139</v>
      </c>
      <c r="Q620" t="s">
        <v>21</v>
      </c>
    </row>
    <row r="621" spans="1:17" x14ac:dyDescent="0.25">
      <c r="A621" t="s">
        <v>1093</v>
      </c>
      <c r="B621" t="s">
        <v>777</v>
      </c>
      <c r="C621" t="s">
        <v>246</v>
      </c>
      <c r="D621" s="8">
        <v>46194</v>
      </c>
      <c r="E621" t="s">
        <v>113</v>
      </c>
      <c r="F621" t="s">
        <v>18</v>
      </c>
      <c r="G621" t="s">
        <v>18</v>
      </c>
      <c r="H621" t="s">
        <v>143</v>
      </c>
      <c r="I621" t="s">
        <v>177</v>
      </c>
      <c r="J621" t="s">
        <v>35</v>
      </c>
      <c r="K621">
        <v>4</v>
      </c>
      <c r="L621">
        <v>524323</v>
      </c>
      <c r="M621">
        <v>35000</v>
      </c>
      <c r="N621" t="s">
        <v>137</v>
      </c>
      <c r="O621" t="s">
        <v>165</v>
      </c>
      <c r="P621" t="s">
        <v>156</v>
      </c>
      <c r="Q621" t="s">
        <v>21</v>
      </c>
    </row>
    <row r="622" spans="1:17" x14ac:dyDescent="0.25">
      <c r="A622" t="s">
        <v>1094</v>
      </c>
      <c r="B622" t="s">
        <v>629</v>
      </c>
      <c r="C622" t="s">
        <v>441</v>
      </c>
      <c r="D622" s="8">
        <v>46059</v>
      </c>
      <c r="E622" t="s">
        <v>114</v>
      </c>
      <c r="F622" t="s">
        <v>27</v>
      </c>
      <c r="G622" t="s">
        <v>27</v>
      </c>
      <c r="H622" t="s">
        <v>160</v>
      </c>
      <c r="I622" t="s">
        <v>177</v>
      </c>
      <c r="J622" t="s">
        <v>29</v>
      </c>
      <c r="K622">
        <v>6</v>
      </c>
      <c r="L622">
        <v>1066032</v>
      </c>
      <c r="M622">
        <v>0</v>
      </c>
      <c r="N622" t="s">
        <v>137</v>
      </c>
      <c r="P622" t="s">
        <v>139</v>
      </c>
      <c r="Q622" t="s">
        <v>1323</v>
      </c>
    </row>
    <row r="623" spans="1:17" x14ac:dyDescent="0.25">
      <c r="A623" t="s">
        <v>1095</v>
      </c>
      <c r="B623" t="s">
        <v>260</v>
      </c>
      <c r="C623" t="s">
        <v>261</v>
      </c>
      <c r="D623" s="8">
        <v>46191</v>
      </c>
      <c r="E623" t="s">
        <v>113</v>
      </c>
      <c r="F623" t="s">
        <v>27</v>
      </c>
      <c r="G623" t="s">
        <v>27</v>
      </c>
      <c r="H623" t="s">
        <v>1315</v>
      </c>
      <c r="I623" t="s">
        <v>177</v>
      </c>
      <c r="J623" t="s">
        <v>25</v>
      </c>
      <c r="K623">
        <v>6</v>
      </c>
      <c r="L623">
        <v>1382939</v>
      </c>
      <c r="M623">
        <v>25000</v>
      </c>
      <c r="N623" t="s">
        <v>37</v>
      </c>
      <c r="O623" t="s">
        <v>165</v>
      </c>
      <c r="P623" t="s">
        <v>139</v>
      </c>
      <c r="Q623" t="s">
        <v>21</v>
      </c>
    </row>
    <row r="624" spans="1:17" x14ac:dyDescent="0.25">
      <c r="A624" t="s">
        <v>1096</v>
      </c>
      <c r="B624" t="s">
        <v>237</v>
      </c>
      <c r="C624" t="s">
        <v>205</v>
      </c>
      <c r="D624" s="8">
        <v>46192</v>
      </c>
      <c r="E624" t="s">
        <v>113</v>
      </c>
      <c r="F624" t="s">
        <v>31</v>
      </c>
      <c r="G624" t="s">
        <v>31</v>
      </c>
      <c r="H624" t="s">
        <v>160</v>
      </c>
      <c r="I624" t="s">
        <v>177</v>
      </c>
      <c r="J624" t="s">
        <v>29</v>
      </c>
      <c r="K624">
        <v>6</v>
      </c>
      <c r="L624">
        <v>729101</v>
      </c>
      <c r="M624">
        <v>50000</v>
      </c>
      <c r="N624" t="s">
        <v>43</v>
      </c>
      <c r="O624" t="s">
        <v>161</v>
      </c>
      <c r="P624" t="s">
        <v>156</v>
      </c>
      <c r="Q624" t="s">
        <v>38</v>
      </c>
    </row>
    <row r="625" spans="1:17" x14ac:dyDescent="0.25">
      <c r="A625" t="s">
        <v>1097</v>
      </c>
      <c r="B625" t="s">
        <v>225</v>
      </c>
      <c r="C625" t="s">
        <v>226</v>
      </c>
      <c r="D625" s="8">
        <v>46185</v>
      </c>
      <c r="E625" t="s">
        <v>113</v>
      </c>
      <c r="F625" t="s">
        <v>31</v>
      </c>
      <c r="G625" t="s">
        <v>31</v>
      </c>
      <c r="H625" t="s">
        <v>28</v>
      </c>
      <c r="I625" t="s">
        <v>136</v>
      </c>
      <c r="J625" t="s">
        <v>29</v>
      </c>
      <c r="K625">
        <v>2</v>
      </c>
      <c r="L625">
        <v>263084</v>
      </c>
      <c r="M625">
        <v>15000</v>
      </c>
      <c r="N625" t="s">
        <v>137</v>
      </c>
      <c r="O625" t="s">
        <v>161</v>
      </c>
      <c r="P625" t="s">
        <v>139</v>
      </c>
      <c r="Q625" t="s">
        <v>21</v>
      </c>
    </row>
    <row r="626" spans="1:17" x14ac:dyDescent="0.25">
      <c r="A626" t="s">
        <v>1098</v>
      </c>
      <c r="B626" t="s">
        <v>185</v>
      </c>
      <c r="C626" t="s">
        <v>164</v>
      </c>
      <c r="D626" s="8">
        <v>46077</v>
      </c>
      <c r="E626" t="s">
        <v>114</v>
      </c>
      <c r="F626" t="s">
        <v>34</v>
      </c>
      <c r="G626" t="s">
        <v>34</v>
      </c>
      <c r="H626" t="s">
        <v>1315</v>
      </c>
      <c r="I626" t="s">
        <v>136</v>
      </c>
      <c r="J626" t="s">
        <v>29</v>
      </c>
      <c r="K626">
        <v>3</v>
      </c>
      <c r="L626">
        <v>2020831</v>
      </c>
      <c r="M626">
        <v>50000</v>
      </c>
      <c r="N626" t="s">
        <v>137</v>
      </c>
      <c r="O626" t="s">
        <v>199</v>
      </c>
      <c r="P626" t="s">
        <v>139</v>
      </c>
      <c r="Q626" t="s">
        <v>21</v>
      </c>
    </row>
    <row r="627" spans="1:17" x14ac:dyDescent="0.25">
      <c r="A627" t="s">
        <v>1099</v>
      </c>
      <c r="B627" t="s">
        <v>410</v>
      </c>
      <c r="C627" t="s">
        <v>411</v>
      </c>
      <c r="D627" s="8">
        <v>46147</v>
      </c>
      <c r="E627" t="s">
        <v>26</v>
      </c>
      <c r="F627" t="s">
        <v>27</v>
      </c>
      <c r="G627" t="s">
        <v>27</v>
      </c>
      <c r="H627" t="s">
        <v>1315</v>
      </c>
      <c r="I627" t="s">
        <v>173</v>
      </c>
      <c r="J627" t="s">
        <v>25</v>
      </c>
      <c r="K627">
        <v>6</v>
      </c>
      <c r="L627">
        <v>2422256</v>
      </c>
      <c r="M627">
        <v>35000</v>
      </c>
      <c r="N627" t="s">
        <v>137</v>
      </c>
      <c r="O627" t="s">
        <v>165</v>
      </c>
      <c r="P627" t="s">
        <v>139</v>
      </c>
      <c r="Q627" t="s">
        <v>21</v>
      </c>
    </row>
    <row r="628" spans="1:17" x14ac:dyDescent="0.25">
      <c r="A628" t="s">
        <v>1100</v>
      </c>
      <c r="B628" t="s">
        <v>708</v>
      </c>
      <c r="C628" t="s">
        <v>220</v>
      </c>
      <c r="D628" s="8">
        <v>46029</v>
      </c>
      <c r="E628" t="s">
        <v>116</v>
      </c>
      <c r="F628" t="s">
        <v>23</v>
      </c>
      <c r="G628" t="s">
        <v>23</v>
      </c>
      <c r="H628" t="s">
        <v>160</v>
      </c>
      <c r="I628" t="s">
        <v>147</v>
      </c>
      <c r="J628" t="s">
        <v>25</v>
      </c>
      <c r="K628">
        <v>1</v>
      </c>
      <c r="L628">
        <v>2398844</v>
      </c>
      <c r="M628">
        <v>15000</v>
      </c>
      <c r="N628" t="s">
        <v>137</v>
      </c>
      <c r="O628" t="s">
        <v>138</v>
      </c>
      <c r="P628" t="s">
        <v>156</v>
      </c>
      <c r="Q628" t="s">
        <v>21</v>
      </c>
    </row>
    <row r="629" spans="1:17" x14ac:dyDescent="0.25">
      <c r="A629" t="s">
        <v>1101</v>
      </c>
      <c r="B629" t="s">
        <v>356</v>
      </c>
      <c r="C629" t="s">
        <v>357</v>
      </c>
      <c r="D629" s="8">
        <v>46111</v>
      </c>
      <c r="E629" t="s">
        <v>115</v>
      </c>
      <c r="F629" t="s">
        <v>27</v>
      </c>
      <c r="G629" t="s">
        <v>27</v>
      </c>
      <c r="H629" t="s">
        <v>143</v>
      </c>
      <c r="I629" t="s">
        <v>39</v>
      </c>
      <c r="J629" t="s">
        <v>35</v>
      </c>
      <c r="K629">
        <v>4</v>
      </c>
      <c r="L629">
        <v>1407778</v>
      </c>
      <c r="M629">
        <v>35000</v>
      </c>
      <c r="N629" t="s">
        <v>137</v>
      </c>
      <c r="O629" t="s">
        <v>149</v>
      </c>
      <c r="P629" t="s">
        <v>156</v>
      </c>
      <c r="Q629" t="s">
        <v>21</v>
      </c>
    </row>
    <row r="630" spans="1:17" x14ac:dyDescent="0.25">
      <c r="A630" t="s">
        <v>1102</v>
      </c>
      <c r="B630" t="s">
        <v>225</v>
      </c>
      <c r="C630" t="s">
        <v>226</v>
      </c>
      <c r="D630" s="8">
        <v>46197</v>
      </c>
      <c r="E630" t="s">
        <v>113</v>
      </c>
      <c r="F630" t="s">
        <v>27</v>
      </c>
      <c r="G630" t="s">
        <v>27</v>
      </c>
      <c r="H630" t="s">
        <v>143</v>
      </c>
      <c r="I630" t="s">
        <v>147</v>
      </c>
      <c r="J630" t="s">
        <v>35</v>
      </c>
      <c r="K630">
        <v>2</v>
      </c>
      <c r="L630">
        <v>1050536</v>
      </c>
      <c r="M630">
        <v>0</v>
      </c>
      <c r="N630" t="s">
        <v>137</v>
      </c>
      <c r="O630" t="s">
        <v>138</v>
      </c>
      <c r="P630" t="s">
        <v>156</v>
      </c>
      <c r="Q630" t="s">
        <v>1318</v>
      </c>
    </row>
    <row r="631" spans="1:17" x14ac:dyDescent="0.25">
      <c r="A631" t="s">
        <v>1103</v>
      </c>
      <c r="B631" t="s">
        <v>389</v>
      </c>
      <c r="C631" t="s">
        <v>146</v>
      </c>
      <c r="D631" s="8">
        <v>46159</v>
      </c>
      <c r="E631" t="s">
        <v>26</v>
      </c>
      <c r="F631" t="s">
        <v>18</v>
      </c>
      <c r="G631" t="s">
        <v>18</v>
      </c>
      <c r="H631" t="s">
        <v>1315</v>
      </c>
      <c r="I631" t="s">
        <v>177</v>
      </c>
      <c r="J631" t="s">
        <v>20</v>
      </c>
      <c r="K631">
        <v>2</v>
      </c>
      <c r="L631">
        <v>1641090</v>
      </c>
      <c r="M631">
        <v>50000</v>
      </c>
      <c r="N631" t="s">
        <v>214</v>
      </c>
      <c r="O631" t="s">
        <v>149</v>
      </c>
      <c r="P631" t="s">
        <v>156</v>
      </c>
      <c r="Q631" t="s">
        <v>21</v>
      </c>
    </row>
    <row r="632" spans="1:17" x14ac:dyDescent="0.25">
      <c r="A632" t="s">
        <v>1104</v>
      </c>
      <c r="B632" t="s">
        <v>943</v>
      </c>
      <c r="C632" t="s">
        <v>435</v>
      </c>
      <c r="D632" s="8">
        <v>46185</v>
      </c>
      <c r="E632" t="s">
        <v>113</v>
      </c>
      <c r="F632" t="s">
        <v>18</v>
      </c>
      <c r="G632" t="s">
        <v>18</v>
      </c>
      <c r="H632" t="s">
        <v>1315</v>
      </c>
      <c r="I632" t="s">
        <v>173</v>
      </c>
      <c r="J632" t="s">
        <v>32</v>
      </c>
      <c r="K632">
        <v>5</v>
      </c>
      <c r="L632">
        <v>1068992</v>
      </c>
      <c r="M632">
        <v>15000</v>
      </c>
      <c r="N632" t="s">
        <v>43</v>
      </c>
      <c r="O632" t="s">
        <v>138</v>
      </c>
      <c r="P632" t="s">
        <v>139</v>
      </c>
      <c r="Q632" t="s">
        <v>38</v>
      </c>
    </row>
    <row r="633" spans="1:17" x14ac:dyDescent="0.25">
      <c r="A633" t="s">
        <v>1105</v>
      </c>
      <c r="B633" t="s">
        <v>498</v>
      </c>
      <c r="C633" t="s">
        <v>320</v>
      </c>
      <c r="D633" s="8">
        <v>46156</v>
      </c>
      <c r="E633" t="s">
        <v>26</v>
      </c>
      <c r="F633" t="s">
        <v>120</v>
      </c>
      <c r="G633" t="s">
        <v>34</v>
      </c>
      <c r="H633" t="s">
        <v>160</v>
      </c>
      <c r="I633" t="s">
        <v>173</v>
      </c>
      <c r="J633" t="s">
        <v>25</v>
      </c>
      <c r="K633">
        <v>4</v>
      </c>
      <c r="L633">
        <v>1886909</v>
      </c>
      <c r="M633">
        <v>35000</v>
      </c>
      <c r="N633" t="s">
        <v>137</v>
      </c>
      <c r="O633" t="s">
        <v>138</v>
      </c>
      <c r="P633" t="s">
        <v>139</v>
      </c>
      <c r="Q633" t="s">
        <v>21</v>
      </c>
    </row>
    <row r="634" spans="1:17" x14ac:dyDescent="0.25">
      <c r="A634" t="s">
        <v>1106</v>
      </c>
      <c r="B634" t="s">
        <v>416</v>
      </c>
      <c r="C634" t="s">
        <v>350</v>
      </c>
      <c r="D634" s="8">
        <v>46179</v>
      </c>
      <c r="E634" t="s">
        <v>113</v>
      </c>
      <c r="F634" t="s">
        <v>18</v>
      </c>
      <c r="G634" t="s">
        <v>18</v>
      </c>
      <c r="H634" t="s">
        <v>143</v>
      </c>
      <c r="I634" t="s">
        <v>39</v>
      </c>
      <c r="J634" t="s">
        <v>29</v>
      </c>
      <c r="K634">
        <v>7</v>
      </c>
      <c r="L634">
        <v>400241</v>
      </c>
      <c r="M634">
        <v>0</v>
      </c>
      <c r="N634" t="s">
        <v>137</v>
      </c>
      <c r="O634" t="s">
        <v>161</v>
      </c>
      <c r="P634" t="s">
        <v>139</v>
      </c>
      <c r="Q634" t="s">
        <v>1318</v>
      </c>
    </row>
    <row r="635" spans="1:17" x14ac:dyDescent="0.25">
      <c r="A635" t="s">
        <v>1107</v>
      </c>
      <c r="B635" t="s">
        <v>811</v>
      </c>
      <c r="C635" t="s">
        <v>17</v>
      </c>
      <c r="D635" s="8">
        <v>46174</v>
      </c>
      <c r="E635" t="s">
        <v>113</v>
      </c>
      <c r="F635" t="s">
        <v>34</v>
      </c>
      <c r="G635" t="s">
        <v>34</v>
      </c>
      <c r="H635" t="s">
        <v>143</v>
      </c>
      <c r="I635" t="s">
        <v>39</v>
      </c>
      <c r="J635" t="s">
        <v>20</v>
      </c>
      <c r="K635">
        <v>7</v>
      </c>
      <c r="L635">
        <v>931058</v>
      </c>
      <c r="M635">
        <v>15000</v>
      </c>
      <c r="N635" t="s">
        <v>137</v>
      </c>
      <c r="O635" t="s">
        <v>161</v>
      </c>
      <c r="P635" t="s">
        <v>156</v>
      </c>
      <c r="Q635" t="s">
        <v>21</v>
      </c>
    </row>
    <row r="636" spans="1:17" x14ac:dyDescent="0.25">
      <c r="A636" t="s">
        <v>1108</v>
      </c>
      <c r="B636" t="s">
        <v>897</v>
      </c>
      <c r="C636" t="s">
        <v>456</v>
      </c>
      <c r="D636" s="8">
        <v>46136</v>
      </c>
      <c r="E636" t="s">
        <v>117</v>
      </c>
      <c r="F636" t="s">
        <v>27</v>
      </c>
      <c r="G636" t="s">
        <v>27</v>
      </c>
      <c r="H636" t="s">
        <v>1315</v>
      </c>
      <c r="I636" t="s">
        <v>147</v>
      </c>
      <c r="J636" t="s">
        <v>20</v>
      </c>
      <c r="K636">
        <v>7</v>
      </c>
      <c r="L636">
        <v>717304</v>
      </c>
      <c r="M636">
        <v>25000</v>
      </c>
      <c r="N636" t="s">
        <v>137</v>
      </c>
      <c r="O636" t="s">
        <v>138</v>
      </c>
      <c r="P636" t="s">
        <v>139</v>
      </c>
      <c r="Q636" t="s">
        <v>21</v>
      </c>
    </row>
    <row r="637" spans="1:17" x14ac:dyDescent="0.25">
      <c r="A637" t="s">
        <v>1109</v>
      </c>
      <c r="B637" t="s">
        <v>558</v>
      </c>
      <c r="C637" t="s">
        <v>526</v>
      </c>
      <c r="D637" s="8">
        <v>46192</v>
      </c>
      <c r="E637" t="s">
        <v>113</v>
      </c>
      <c r="F637" t="s">
        <v>31</v>
      </c>
      <c r="G637" t="s">
        <v>31</v>
      </c>
      <c r="H637" t="s">
        <v>143</v>
      </c>
      <c r="I637" t="s">
        <v>173</v>
      </c>
      <c r="J637" t="s">
        <v>25</v>
      </c>
      <c r="K637">
        <v>7</v>
      </c>
      <c r="L637">
        <v>1958245</v>
      </c>
      <c r="M637">
        <v>25000</v>
      </c>
      <c r="N637" t="s">
        <v>137</v>
      </c>
      <c r="O637" t="s">
        <v>138</v>
      </c>
      <c r="P637" t="s">
        <v>139</v>
      </c>
      <c r="Q637" t="s">
        <v>21</v>
      </c>
    </row>
    <row r="638" spans="1:17" x14ac:dyDescent="0.25">
      <c r="A638" t="s">
        <v>1110</v>
      </c>
      <c r="B638" t="s">
        <v>398</v>
      </c>
      <c r="C638" t="s">
        <v>399</v>
      </c>
      <c r="D638" s="8">
        <v>46120</v>
      </c>
      <c r="E638" t="s">
        <v>117</v>
      </c>
      <c r="F638" t="s">
        <v>31</v>
      </c>
      <c r="G638" t="s">
        <v>31</v>
      </c>
      <c r="H638" t="s">
        <v>1315</v>
      </c>
      <c r="I638" t="s">
        <v>177</v>
      </c>
      <c r="J638" t="s">
        <v>35</v>
      </c>
      <c r="K638">
        <v>6</v>
      </c>
      <c r="L638">
        <v>1191444</v>
      </c>
      <c r="M638">
        <v>0</v>
      </c>
      <c r="N638" t="s">
        <v>137</v>
      </c>
      <c r="O638" t="s">
        <v>138</v>
      </c>
      <c r="P638" t="s">
        <v>156</v>
      </c>
      <c r="Q638" t="s">
        <v>1318</v>
      </c>
    </row>
    <row r="639" spans="1:17" x14ac:dyDescent="0.25">
      <c r="A639" t="s">
        <v>1111</v>
      </c>
      <c r="B639" t="s">
        <v>372</v>
      </c>
      <c r="C639" t="s">
        <v>198</v>
      </c>
      <c r="D639" s="8">
        <v>46177</v>
      </c>
      <c r="E639" t="s">
        <v>113</v>
      </c>
      <c r="F639" t="s">
        <v>31</v>
      </c>
      <c r="G639" t="s">
        <v>31</v>
      </c>
      <c r="H639" t="s">
        <v>28</v>
      </c>
      <c r="I639" t="s">
        <v>173</v>
      </c>
      <c r="J639" t="s">
        <v>20</v>
      </c>
      <c r="K639">
        <v>7</v>
      </c>
      <c r="L639">
        <v>1640642</v>
      </c>
      <c r="M639">
        <v>15000</v>
      </c>
      <c r="N639" t="s">
        <v>148</v>
      </c>
      <c r="O639" t="s">
        <v>149</v>
      </c>
      <c r="P639" t="s">
        <v>139</v>
      </c>
      <c r="Q639" t="s">
        <v>21</v>
      </c>
    </row>
    <row r="640" spans="1:17" x14ac:dyDescent="0.25">
      <c r="A640" t="s">
        <v>1112</v>
      </c>
      <c r="B640" t="s">
        <v>455</v>
      </c>
      <c r="C640" t="s">
        <v>456</v>
      </c>
      <c r="D640" s="8">
        <v>46093</v>
      </c>
      <c r="E640" t="s">
        <v>115</v>
      </c>
      <c r="F640" t="s">
        <v>34</v>
      </c>
      <c r="G640" t="s">
        <v>34</v>
      </c>
      <c r="H640" t="s">
        <v>160</v>
      </c>
      <c r="I640" t="s">
        <v>173</v>
      </c>
      <c r="J640" t="s">
        <v>20</v>
      </c>
      <c r="K640">
        <v>3</v>
      </c>
      <c r="L640">
        <v>1175583</v>
      </c>
      <c r="M640">
        <v>50000</v>
      </c>
      <c r="N640" t="s">
        <v>137</v>
      </c>
      <c r="O640" t="s">
        <v>165</v>
      </c>
      <c r="P640" t="s">
        <v>139</v>
      </c>
      <c r="Q640" t="s">
        <v>21</v>
      </c>
    </row>
    <row r="641" spans="1:17" x14ac:dyDescent="0.25">
      <c r="A641" t="s">
        <v>1113</v>
      </c>
      <c r="B641" t="s">
        <v>736</v>
      </c>
      <c r="C641" t="s">
        <v>195</v>
      </c>
      <c r="D641" s="8">
        <v>46172</v>
      </c>
      <c r="E641" t="s">
        <v>26</v>
      </c>
      <c r="F641" t="s">
        <v>31</v>
      </c>
      <c r="G641" t="s">
        <v>31</v>
      </c>
      <c r="H641" t="s">
        <v>28</v>
      </c>
      <c r="I641" t="s">
        <v>147</v>
      </c>
      <c r="J641" t="s">
        <v>35</v>
      </c>
      <c r="K641">
        <v>5</v>
      </c>
      <c r="L641">
        <v>2196080</v>
      </c>
      <c r="M641">
        <v>15000</v>
      </c>
      <c r="N641" t="s">
        <v>137</v>
      </c>
      <c r="O641" t="s">
        <v>161</v>
      </c>
      <c r="P641" t="s">
        <v>139</v>
      </c>
      <c r="Q641" t="s">
        <v>21</v>
      </c>
    </row>
    <row r="642" spans="1:17" x14ac:dyDescent="0.25">
      <c r="A642" t="s">
        <v>1114</v>
      </c>
      <c r="B642" t="s">
        <v>398</v>
      </c>
      <c r="C642" t="s">
        <v>399</v>
      </c>
      <c r="D642" s="8">
        <v>46177</v>
      </c>
      <c r="E642" t="s">
        <v>113</v>
      </c>
      <c r="F642" t="s">
        <v>23</v>
      </c>
      <c r="G642" t="s">
        <v>23</v>
      </c>
      <c r="H642" t="s">
        <v>143</v>
      </c>
      <c r="I642" t="s">
        <v>136</v>
      </c>
      <c r="J642" t="s">
        <v>35</v>
      </c>
      <c r="K642">
        <v>7</v>
      </c>
      <c r="L642">
        <v>572136</v>
      </c>
      <c r="M642">
        <v>50000</v>
      </c>
      <c r="N642" t="s">
        <v>148</v>
      </c>
      <c r="O642" t="s">
        <v>165</v>
      </c>
      <c r="P642" t="s">
        <v>139</v>
      </c>
      <c r="Q642" t="s">
        <v>21</v>
      </c>
    </row>
    <row r="643" spans="1:17" x14ac:dyDescent="0.25">
      <c r="A643" t="s">
        <v>1115</v>
      </c>
      <c r="B643" t="s">
        <v>638</v>
      </c>
      <c r="C643" t="s">
        <v>287</v>
      </c>
      <c r="D643" s="8">
        <v>46123</v>
      </c>
      <c r="E643" t="s">
        <v>117</v>
      </c>
      <c r="F643" t="s">
        <v>27</v>
      </c>
      <c r="G643" t="s">
        <v>27</v>
      </c>
      <c r="H643" t="s">
        <v>160</v>
      </c>
      <c r="I643" t="s">
        <v>39</v>
      </c>
      <c r="J643" t="s">
        <v>32</v>
      </c>
      <c r="K643">
        <v>6</v>
      </c>
      <c r="L643">
        <v>287205</v>
      </c>
      <c r="M643">
        <v>25000</v>
      </c>
      <c r="N643" t="s">
        <v>148</v>
      </c>
      <c r="O643" t="s">
        <v>165</v>
      </c>
      <c r="P643" t="s">
        <v>156</v>
      </c>
      <c r="Q643" t="s">
        <v>21</v>
      </c>
    </row>
    <row r="644" spans="1:17" x14ac:dyDescent="0.25">
      <c r="A644" t="s">
        <v>1116</v>
      </c>
      <c r="B644" t="s">
        <v>248</v>
      </c>
      <c r="C644" t="s">
        <v>226</v>
      </c>
      <c r="D644" s="8">
        <v>46168</v>
      </c>
      <c r="E644" t="s">
        <v>26</v>
      </c>
      <c r="F644" t="s">
        <v>31</v>
      </c>
      <c r="G644" t="s">
        <v>31</v>
      </c>
      <c r="H644" t="s">
        <v>160</v>
      </c>
      <c r="I644" t="s">
        <v>169</v>
      </c>
      <c r="J644" t="s">
        <v>32</v>
      </c>
      <c r="K644">
        <v>6</v>
      </c>
      <c r="L644">
        <v>878068</v>
      </c>
      <c r="M644">
        <v>0</v>
      </c>
      <c r="N644" t="s">
        <v>43</v>
      </c>
      <c r="O644" t="s">
        <v>161</v>
      </c>
      <c r="P644" t="s">
        <v>139</v>
      </c>
      <c r="Q644" t="s">
        <v>1321</v>
      </c>
    </row>
    <row r="645" spans="1:17" x14ac:dyDescent="0.25">
      <c r="A645" t="s">
        <v>1117</v>
      </c>
      <c r="B645" t="s">
        <v>212</v>
      </c>
      <c r="C645" t="s">
        <v>213</v>
      </c>
      <c r="D645" s="8">
        <v>46197</v>
      </c>
      <c r="E645" t="s">
        <v>113</v>
      </c>
      <c r="F645" t="s">
        <v>34</v>
      </c>
      <c r="G645" t="s">
        <v>34</v>
      </c>
      <c r="H645" t="s">
        <v>28</v>
      </c>
      <c r="I645" t="s">
        <v>169</v>
      </c>
      <c r="J645" t="s">
        <v>25</v>
      </c>
      <c r="K645">
        <v>2</v>
      </c>
      <c r="L645">
        <v>1563049</v>
      </c>
      <c r="M645">
        <v>25000</v>
      </c>
      <c r="N645" t="s">
        <v>137</v>
      </c>
      <c r="O645" t="s">
        <v>165</v>
      </c>
      <c r="P645" t="s">
        <v>156</v>
      </c>
      <c r="Q645" t="s">
        <v>21</v>
      </c>
    </row>
    <row r="646" spans="1:17" x14ac:dyDescent="0.25">
      <c r="A646" t="s">
        <v>1118</v>
      </c>
      <c r="B646" t="s">
        <v>416</v>
      </c>
      <c r="C646" t="s">
        <v>350</v>
      </c>
      <c r="D646" s="8">
        <v>46165</v>
      </c>
      <c r="E646" t="s">
        <v>26</v>
      </c>
      <c r="F646" t="s">
        <v>18</v>
      </c>
      <c r="G646" t="s">
        <v>18</v>
      </c>
      <c r="H646" t="s">
        <v>28</v>
      </c>
      <c r="I646" t="s">
        <v>173</v>
      </c>
      <c r="J646" t="s">
        <v>25</v>
      </c>
      <c r="K646">
        <v>6</v>
      </c>
      <c r="L646">
        <v>2415449</v>
      </c>
      <c r="M646">
        <v>25000</v>
      </c>
      <c r="N646" t="s">
        <v>137</v>
      </c>
      <c r="O646" t="s">
        <v>161</v>
      </c>
      <c r="P646" t="s">
        <v>139</v>
      </c>
      <c r="Q646" t="s">
        <v>21</v>
      </c>
    </row>
    <row r="647" spans="1:17" x14ac:dyDescent="0.25">
      <c r="A647" t="s">
        <v>1119</v>
      </c>
      <c r="B647" t="s">
        <v>777</v>
      </c>
      <c r="C647" t="s">
        <v>246</v>
      </c>
      <c r="D647" s="8">
        <v>46160</v>
      </c>
      <c r="E647" t="s">
        <v>26</v>
      </c>
      <c r="F647" t="s">
        <v>23</v>
      </c>
      <c r="G647" t="s">
        <v>23</v>
      </c>
      <c r="H647" t="s">
        <v>28</v>
      </c>
      <c r="I647" t="s">
        <v>136</v>
      </c>
      <c r="J647" t="s">
        <v>35</v>
      </c>
      <c r="K647">
        <v>7</v>
      </c>
      <c r="L647">
        <v>1074501</v>
      </c>
      <c r="M647">
        <v>25000</v>
      </c>
      <c r="N647" t="s">
        <v>137</v>
      </c>
      <c r="O647" t="s">
        <v>165</v>
      </c>
      <c r="P647" t="s">
        <v>139</v>
      </c>
      <c r="Q647" t="s">
        <v>21</v>
      </c>
    </row>
    <row r="648" spans="1:17" x14ac:dyDescent="0.25">
      <c r="A648" t="s">
        <v>1120</v>
      </c>
      <c r="B648" t="s">
        <v>228</v>
      </c>
      <c r="C648" t="s">
        <v>217</v>
      </c>
      <c r="D648" s="8">
        <v>46070</v>
      </c>
      <c r="E648" t="s">
        <v>114</v>
      </c>
      <c r="F648" t="s">
        <v>31</v>
      </c>
      <c r="G648" t="s">
        <v>31</v>
      </c>
      <c r="H648" t="s">
        <v>1315</v>
      </c>
      <c r="I648" t="s">
        <v>177</v>
      </c>
      <c r="J648" t="s">
        <v>29</v>
      </c>
      <c r="K648">
        <v>3</v>
      </c>
      <c r="L648">
        <v>1725144</v>
      </c>
      <c r="M648">
        <v>15000</v>
      </c>
      <c r="N648" t="s">
        <v>148</v>
      </c>
      <c r="O648" t="s">
        <v>165</v>
      </c>
      <c r="P648" t="s">
        <v>139</v>
      </c>
      <c r="Q648" t="s">
        <v>21</v>
      </c>
    </row>
    <row r="649" spans="1:17" x14ac:dyDescent="0.25">
      <c r="A649" t="s">
        <v>1121</v>
      </c>
      <c r="B649" t="s">
        <v>494</v>
      </c>
      <c r="C649" t="s">
        <v>495</v>
      </c>
      <c r="D649" s="8">
        <v>46051</v>
      </c>
      <c r="E649" t="s">
        <v>116</v>
      </c>
      <c r="F649" t="s">
        <v>27</v>
      </c>
      <c r="G649" t="s">
        <v>27</v>
      </c>
      <c r="H649" t="s">
        <v>1315</v>
      </c>
      <c r="I649" t="s">
        <v>147</v>
      </c>
      <c r="J649" t="s">
        <v>35</v>
      </c>
      <c r="K649">
        <v>3</v>
      </c>
      <c r="L649">
        <v>916035</v>
      </c>
      <c r="M649">
        <v>50000</v>
      </c>
      <c r="N649" t="s">
        <v>43</v>
      </c>
      <c r="O649" t="s">
        <v>138</v>
      </c>
      <c r="P649" t="s">
        <v>156</v>
      </c>
      <c r="Q649" t="s">
        <v>38</v>
      </c>
    </row>
    <row r="650" spans="1:17" x14ac:dyDescent="0.25">
      <c r="A650" t="s">
        <v>1122</v>
      </c>
      <c r="B650" t="s">
        <v>413</v>
      </c>
      <c r="C650" t="s">
        <v>210</v>
      </c>
      <c r="D650" s="8">
        <v>46181</v>
      </c>
      <c r="E650" t="s">
        <v>113</v>
      </c>
      <c r="F650" t="s">
        <v>31</v>
      </c>
      <c r="G650" t="s">
        <v>31</v>
      </c>
      <c r="H650" t="s">
        <v>1315</v>
      </c>
      <c r="I650" t="s">
        <v>177</v>
      </c>
      <c r="J650" t="s">
        <v>25</v>
      </c>
      <c r="K650">
        <v>1</v>
      </c>
      <c r="L650">
        <v>438495</v>
      </c>
      <c r="M650">
        <v>15000</v>
      </c>
      <c r="N650" t="s">
        <v>137</v>
      </c>
      <c r="O650" t="s">
        <v>138</v>
      </c>
      <c r="P650" t="s">
        <v>139</v>
      </c>
      <c r="Q650" t="s">
        <v>21</v>
      </c>
    </row>
    <row r="651" spans="1:17" x14ac:dyDescent="0.25">
      <c r="A651" t="s">
        <v>1123</v>
      </c>
      <c r="B651" t="s">
        <v>413</v>
      </c>
      <c r="C651" t="s">
        <v>210</v>
      </c>
      <c r="D651" s="8">
        <v>46114</v>
      </c>
      <c r="E651" t="s">
        <v>117</v>
      </c>
      <c r="F651" t="s">
        <v>34</v>
      </c>
      <c r="G651" t="s">
        <v>34</v>
      </c>
      <c r="H651" t="s">
        <v>160</v>
      </c>
      <c r="I651" t="s">
        <v>136</v>
      </c>
      <c r="J651" t="s">
        <v>29</v>
      </c>
      <c r="K651">
        <v>7</v>
      </c>
      <c r="L651">
        <v>1735814</v>
      </c>
      <c r="M651">
        <v>0</v>
      </c>
      <c r="N651" t="s">
        <v>37</v>
      </c>
      <c r="O651" t="s">
        <v>149</v>
      </c>
      <c r="P651" t="s">
        <v>139</v>
      </c>
      <c r="Q651" t="s">
        <v>1318</v>
      </c>
    </row>
    <row r="652" spans="1:17" x14ac:dyDescent="0.25">
      <c r="A652" t="s">
        <v>1124</v>
      </c>
      <c r="B652" t="s">
        <v>813</v>
      </c>
      <c r="C652" t="s">
        <v>226</v>
      </c>
      <c r="D652" s="8">
        <v>46033</v>
      </c>
      <c r="E652" t="s">
        <v>116</v>
      </c>
      <c r="F652" t="s">
        <v>31</v>
      </c>
      <c r="G652" t="s">
        <v>31</v>
      </c>
      <c r="H652" t="s">
        <v>143</v>
      </c>
      <c r="I652" t="s">
        <v>169</v>
      </c>
      <c r="J652" t="s">
        <v>29</v>
      </c>
      <c r="K652">
        <v>2</v>
      </c>
      <c r="L652">
        <v>1151394</v>
      </c>
      <c r="M652">
        <v>50000</v>
      </c>
      <c r="N652" t="s">
        <v>137</v>
      </c>
      <c r="O652" t="s">
        <v>503</v>
      </c>
      <c r="P652" t="s">
        <v>156</v>
      </c>
      <c r="Q652" t="s">
        <v>21</v>
      </c>
    </row>
    <row r="653" spans="1:17" x14ac:dyDescent="0.25">
      <c r="A653" t="s">
        <v>1125</v>
      </c>
      <c r="B653" t="s">
        <v>839</v>
      </c>
      <c r="C653" t="s">
        <v>526</v>
      </c>
      <c r="D653" s="8">
        <v>46080</v>
      </c>
      <c r="E653" t="s">
        <v>114</v>
      </c>
      <c r="F653" t="s">
        <v>23</v>
      </c>
      <c r="G653" t="s">
        <v>23</v>
      </c>
      <c r="H653" t="s">
        <v>28</v>
      </c>
      <c r="I653" t="s">
        <v>39</v>
      </c>
      <c r="J653" t="s">
        <v>32</v>
      </c>
      <c r="K653">
        <v>2</v>
      </c>
      <c r="L653">
        <v>1966986</v>
      </c>
      <c r="M653">
        <v>15000</v>
      </c>
      <c r="N653" t="s">
        <v>137</v>
      </c>
      <c r="O653" t="s">
        <v>161</v>
      </c>
      <c r="P653" t="s">
        <v>156</v>
      </c>
      <c r="Q653" t="s">
        <v>21</v>
      </c>
    </row>
    <row r="654" spans="1:17" x14ac:dyDescent="0.25">
      <c r="A654" t="s">
        <v>1126</v>
      </c>
      <c r="B654" t="s">
        <v>191</v>
      </c>
      <c r="C654" t="s">
        <v>192</v>
      </c>
      <c r="D654" s="8">
        <v>46070</v>
      </c>
      <c r="E654" t="s">
        <v>114</v>
      </c>
      <c r="F654" t="s">
        <v>31</v>
      </c>
      <c r="G654" t="s">
        <v>31</v>
      </c>
      <c r="H654" t="s">
        <v>1315</v>
      </c>
      <c r="I654" t="s">
        <v>169</v>
      </c>
      <c r="J654" t="s">
        <v>25</v>
      </c>
      <c r="K654">
        <v>4</v>
      </c>
      <c r="L654">
        <v>2295046</v>
      </c>
      <c r="M654">
        <v>50000</v>
      </c>
      <c r="N654" t="s">
        <v>137</v>
      </c>
      <c r="O654" t="s">
        <v>165</v>
      </c>
      <c r="P654" t="s">
        <v>139</v>
      </c>
      <c r="Q654" t="s">
        <v>21</v>
      </c>
    </row>
    <row r="655" spans="1:17" x14ac:dyDescent="0.25">
      <c r="A655" t="s">
        <v>1127</v>
      </c>
      <c r="B655" t="s">
        <v>509</v>
      </c>
      <c r="C655" t="s">
        <v>297</v>
      </c>
      <c r="D655" s="8">
        <v>46117</v>
      </c>
      <c r="E655" t="s">
        <v>117</v>
      </c>
      <c r="F655" t="s">
        <v>18</v>
      </c>
      <c r="G655" t="s">
        <v>18</v>
      </c>
      <c r="H655" t="s">
        <v>1315</v>
      </c>
      <c r="I655" t="s">
        <v>169</v>
      </c>
      <c r="J655" t="s">
        <v>29</v>
      </c>
      <c r="K655">
        <v>3</v>
      </c>
      <c r="L655" t="s">
        <v>1128</v>
      </c>
      <c r="M655">
        <v>15000</v>
      </c>
      <c r="N655" t="s">
        <v>137</v>
      </c>
      <c r="O655" t="s">
        <v>161</v>
      </c>
      <c r="P655" t="s">
        <v>156</v>
      </c>
      <c r="Q655" t="s">
        <v>21</v>
      </c>
    </row>
    <row r="656" spans="1:17" x14ac:dyDescent="0.25">
      <c r="A656" t="s">
        <v>1129</v>
      </c>
      <c r="B656" t="s">
        <v>951</v>
      </c>
      <c r="C656" t="s">
        <v>762</v>
      </c>
      <c r="D656" s="8">
        <v>46152</v>
      </c>
      <c r="E656" t="s">
        <v>26</v>
      </c>
      <c r="F656" t="s">
        <v>18</v>
      </c>
      <c r="G656" t="s">
        <v>18</v>
      </c>
      <c r="H656" t="s">
        <v>1315</v>
      </c>
      <c r="I656" t="s">
        <v>169</v>
      </c>
      <c r="J656" t="s">
        <v>35</v>
      </c>
      <c r="K656">
        <v>3</v>
      </c>
      <c r="L656">
        <v>2115388</v>
      </c>
      <c r="M656">
        <v>50000</v>
      </c>
      <c r="N656" t="s">
        <v>137</v>
      </c>
      <c r="O656" t="s">
        <v>165</v>
      </c>
      <c r="P656" t="s">
        <v>156</v>
      </c>
      <c r="Q656" t="s">
        <v>21</v>
      </c>
    </row>
    <row r="657" spans="1:17" x14ac:dyDescent="0.25">
      <c r="A657" t="s">
        <v>1130</v>
      </c>
      <c r="B657" t="s">
        <v>175</v>
      </c>
      <c r="C657" t="s">
        <v>176</v>
      </c>
      <c r="D657" s="8">
        <v>46091</v>
      </c>
      <c r="E657" t="s">
        <v>115</v>
      </c>
      <c r="F657" t="s">
        <v>23</v>
      </c>
      <c r="G657" t="s">
        <v>23</v>
      </c>
      <c r="H657" t="s">
        <v>143</v>
      </c>
      <c r="I657" t="s">
        <v>173</v>
      </c>
      <c r="J657" t="s">
        <v>35</v>
      </c>
      <c r="K657">
        <v>5</v>
      </c>
      <c r="L657">
        <v>343143</v>
      </c>
      <c r="M657">
        <v>35000</v>
      </c>
      <c r="N657" t="s">
        <v>262</v>
      </c>
      <c r="O657" t="s">
        <v>138</v>
      </c>
      <c r="P657" t="s">
        <v>139</v>
      </c>
      <c r="Q657" t="s">
        <v>21</v>
      </c>
    </row>
    <row r="658" spans="1:17" x14ac:dyDescent="0.25">
      <c r="A658" t="s">
        <v>1131</v>
      </c>
      <c r="B658" t="s">
        <v>1132</v>
      </c>
      <c r="C658" t="s">
        <v>287</v>
      </c>
      <c r="D658" s="8">
        <v>46189</v>
      </c>
      <c r="E658" t="s">
        <v>113</v>
      </c>
      <c r="F658" t="s">
        <v>23</v>
      </c>
      <c r="G658" t="s">
        <v>23</v>
      </c>
      <c r="H658" t="s">
        <v>1315</v>
      </c>
      <c r="I658" t="s">
        <v>147</v>
      </c>
      <c r="J658" t="s">
        <v>25</v>
      </c>
      <c r="K658">
        <v>4</v>
      </c>
      <c r="L658">
        <v>361364</v>
      </c>
      <c r="M658">
        <v>25000</v>
      </c>
      <c r="N658" t="s">
        <v>148</v>
      </c>
      <c r="O658" t="s">
        <v>165</v>
      </c>
      <c r="P658" t="s">
        <v>156</v>
      </c>
      <c r="Q658" t="s">
        <v>21</v>
      </c>
    </row>
    <row r="659" spans="1:17" x14ac:dyDescent="0.25">
      <c r="A659" t="s">
        <v>1133</v>
      </c>
      <c r="B659" t="s">
        <v>582</v>
      </c>
      <c r="C659" t="s">
        <v>446</v>
      </c>
      <c r="D659" s="8">
        <v>46176</v>
      </c>
      <c r="E659" t="s">
        <v>113</v>
      </c>
      <c r="F659" t="s">
        <v>31</v>
      </c>
      <c r="G659" t="s">
        <v>31</v>
      </c>
      <c r="H659" t="s">
        <v>143</v>
      </c>
      <c r="I659" t="s">
        <v>169</v>
      </c>
      <c r="J659" t="s">
        <v>32</v>
      </c>
      <c r="K659">
        <v>6</v>
      </c>
      <c r="L659">
        <v>2178605</v>
      </c>
      <c r="M659">
        <v>35000</v>
      </c>
      <c r="N659" t="s">
        <v>137</v>
      </c>
      <c r="O659" t="s">
        <v>161</v>
      </c>
      <c r="P659" t="s">
        <v>139</v>
      </c>
      <c r="Q659" t="s">
        <v>21</v>
      </c>
    </row>
    <row r="660" spans="1:17" x14ac:dyDescent="0.25">
      <c r="A660" t="s">
        <v>1134</v>
      </c>
      <c r="B660" t="s">
        <v>216</v>
      </c>
      <c r="C660" t="s">
        <v>217</v>
      </c>
      <c r="D660" s="8">
        <v>46201</v>
      </c>
      <c r="E660" t="s">
        <v>113</v>
      </c>
      <c r="F660" t="s">
        <v>31</v>
      </c>
      <c r="G660" t="s">
        <v>31</v>
      </c>
      <c r="H660" t="s">
        <v>143</v>
      </c>
      <c r="I660" t="s">
        <v>147</v>
      </c>
      <c r="J660" t="s">
        <v>35</v>
      </c>
      <c r="K660">
        <v>2</v>
      </c>
      <c r="L660">
        <v>1397841</v>
      </c>
      <c r="M660">
        <v>25000</v>
      </c>
      <c r="N660" t="s">
        <v>137</v>
      </c>
      <c r="O660" t="s">
        <v>165</v>
      </c>
      <c r="P660" t="s">
        <v>139</v>
      </c>
      <c r="Q660" t="s">
        <v>21</v>
      </c>
    </row>
    <row r="661" spans="1:17" x14ac:dyDescent="0.25">
      <c r="A661" t="s">
        <v>1135</v>
      </c>
      <c r="B661" t="s">
        <v>167</v>
      </c>
      <c r="C661" t="s">
        <v>168</v>
      </c>
      <c r="D661" s="8">
        <v>46024</v>
      </c>
      <c r="E661" t="s">
        <v>116</v>
      </c>
      <c r="F661" t="s">
        <v>27</v>
      </c>
      <c r="G661" t="s">
        <v>27</v>
      </c>
      <c r="H661" t="s">
        <v>160</v>
      </c>
      <c r="I661" t="s">
        <v>147</v>
      </c>
      <c r="J661" t="s">
        <v>32</v>
      </c>
      <c r="K661">
        <v>5</v>
      </c>
      <c r="L661">
        <v>342176</v>
      </c>
      <c r="M661">
        <v>25000</v>
      </c>
      <c r="N661" t="s">
        <v>137</v>
      </c>
      <c r="O661" t="s">
        <v>149</v>
      </c>
      <c r="P661" t="s">
        <v>156</v>
      </c>
      <c r="Q661" t="s">
        <v>21</v>
      </c>
    </row>
    <row r="662" spans="1:17" x14ac:dyDescent="0.25">
      <c r="A662" t="s">
        <v>1136</v>
      </c>
      <c r="B662" t="s">
        <v>848</v>
      </c>
      <c r="C662" t="s">
        <v>334</v>
      </c>
      <c r="D662" s="8">
        <v>46072</v>
      </c>
      <c r="E662" t="s">
        <v>114</v>
      </c>
      <c r="F662" t="s">
        <v>18</v>
      </c>
      <c r="G662" t="s">
        <v>18</v>
      </c>
      <c r="H662" t="s">
        <v>160</v>
      </c>
      <c r="I662" t="s">
        <v>169</v>
      </c>
      <c r="J662" t="s">
        <v>32</v>
      </c>
      <c r="K662">
        <v>7</v>
      </c>
      <c r="L662">
        <v>1163540</v>
      </c>
      <c r="M662">
        <v>50000</v>
      </c>
      <c r="N662" t="s">
        <v>137</v>
      </c>
      <c r="O662" t="s">
        <v>161</v>
      </c>
      <c r="P662" t="s">
        <v>156</v>
      </c>
      <c r="Q662" t="s">
        <v>21</v>
      </c>
    </row>
    <row r="663" spans="1:17" x14ac:dyDescent="0.25">
      <c r="A663" t="s">
        <v>1137</v>
      </c>
      <c r="B663" t="s">
        <v>1138</v>
      </c>
      <c r="C663" t="s">
        <v>301</v>
      </c>
      <c r="D663" s="8">
        <v>46045</v>
      </c>
      <c r="E663" t="s">
        <v>116</v>
      </c>
      <c r="F663" t="s">
        <v>31</v>
      </c>
      <c r="G663" t="s">
        <v>31</v>
      </c>
      <c r="H663" t="s">
        <v>28</v>
      </c>
      <c r="I663" t="s">
        <v>169</v>
      </c>
      <c r="J663" t="s">
        <v>32</v>
      </c>
      <c r="K663">
        <v>5</v>
      </c>
      <c r="L663">
        <v>514941</v>
      </c>
      <c r="M663">
        <v>35000</v>
      </c>
      <c r="N663" t="s">
        <v>137</v>
      </c>
      <c r="O663" t="s">
        <v>138</v>
      </c>
      <c r="P663" t="s">
        <v>156</v>
      </c>
      <c r="Q663" t="s">
        <v>21</v>
      </c>
    </row>
    <row r="664" spans="1:17" x14ac:dyDescent="0.25">
      <c r="A664" t="s">
        <v>1139</v>
      </c>
      <c r="B664" t="s">
        <v>325</v>
      </c>
      <c r="C664" t="s">
        <v>284</v>
      </c>
      <c r="D664" s="8">
        <v>46110</v>
      </c>
      <c r="E664" t="s">
        <v>115</v>
      </c>
      <c r="F664" t="s">
        <v>34</v>
      </c>
      <c r="G664" t="s">
        <v>34</v>
      </c>
      <c r="H664" t="s">
        <v>28</v>
      </c>
      <c r="I664" t="s">
        <v>173</v>
      </c>
      <c r="J664" t="s">
        <v>29</v>
      </c>
      <c r="K664">
        <v>3</v>
      </c>
      <c r="L664">
        <v>887514</v>
      </c>
      <c r="M664">
        <v>0</v>
      </c>
      <c r="N664" t="s">
        <v>137</v>
      </c>
      <c r="O664" t="s">
        <v>138</v>
      </c>
      <c r="P664" t="s">
        <v>139</v>
      </c>
      <c r="Q664" t="s">
        <v>1318</v>
      </c>
    </row>
    <row r="665" spans="1:17" x14ac:dyDescent="0.25">
      <c r="A665" t="s">
        <v>1140</v>
      </c>
      <c r="B665" t="s">
        <v>620</v>
      </c>
      <c r="C665" t="s">
        <v>277</v>
      </c>
      <c r="D665" s="8">
        <v>46074</v>
      </c>
      <c r="E665" t="s">
        <v>114</v>
      </c>
      <c r="F665" t="s">
        <v>23</v>
      </c>
      <c r="G665" t="s">
        <v>23</v>
      </c>
      <c r="H665" t="s">
        <v>1315</v>
      </c>
      <c r="I665" t="s">
        <v>173</v>
      </c>
      <c r="J665" t="s">
        <v>35</v>
      </c>
      <c r="K665">
        <v>6</v>
      </c>
      <c r="L665">
        <v>1070597</v>
      </c>
      <c r="M665">
        <v>25000</v>
      </c>
      <c r="N665" t="s">
        <v>137</v>
      </c>
      <c r="O665" t="s">
        <v>161</v>
      </c>
      <c r="P665" t="s">
        <v>156</v>
      </c>
      <c r="Q665" t="s">
        <v>21</v>
      </c>
    </row>
    <row r="666" spans="1:17" x14ac:dyDescent="0.25">
      <c r="A666" t="s">
        <v>1141</v>
      </c>
      <c r="B666" t="s">
        <v>158</v>
      </c>
      <c r="C666" t="s">
        <v>159</v>
      </c>
      <c r="D666" s="8">
        <v>25569</v>
      </c>
      <c r="E666" t="s">
        <v>116</v>
      </c>
      <c r="F666" t="s">
        <v>23</v>
      </c>
      <c r="G666" t="s">
        <v>23</v>
      </c>
      <c r="H666" t="s">
        <v>160</v>
      </c>
      <c r="I666" t="s">
        <v>136</v>
      </c>
      <c r="J666" t="s">
        <v>32</v>
      </c>
      <c r="K666">
        <v>2</v>
      </c>
      <c r="L666">
        <v>1685091</v>
      </c>
      <c r="M666">
        <v>0</v>
      </c>
      <c r="N666" t="s">
        <v>137</v>
      </c>
      <c r="O666" t="s">
        <v>149</v>
      </c>
      <c r="P666" t="s">
        <v>139</v>
      </c>
      <c r="Q666" t="s">
        <v>1325</v>
      </c>
    </row>
    <row r="667" spans="1:17" x14ac:dyDescent="0.25">
      <c r="A667" t="s">
        <v>1142</v>
      </c>
      <c r="B667" t="s">
        <v>365</v>
      </c>
      <c r="C667" t="s">
        <v>240</v>
      </c>
      <c r="D667" s="8">
        <v>46168</v>
      </c>
      <c r="E667" t="s">
        <v>26</v>
      </c>
      <c r="F667" t="s">
        <v>27</v>
      </c>
      <c r="G667" t="s">
        <v>27</v>
      </c>
      <c r="H667" t="s">
        <v>28</v>
      </c>
      <c r="I667" t="s">
        <v>177</v>
      </c>
      <c r="J667" t="s">
        <v>35</v>
      </c>
      <c r="K667">
        <v>7</v>
      </c>
      <c r="L667">
        <v>2482922</v>
      </c>
      <c r="M667">
        <v>25000</v>
      </c>
      <c r="N667" t="s">
        <v>137</v>
      </c>
      <c r="O667" t="s">
        <v>161</v>
      </c>
      <c r="P667" t="s">
        <v>156</v>
      </c>
      <c r="Q667" t="s">
        <v>21</v>
      </c>
    </row>
    <row r="668" spans="1:17" x14ac:dyDescent="0.25">
      <c r="A668" t="s">
        <v>1143</v>
      </c>
      <c r="B668" t="s">
        <v>1002</v>
      </c>
      <c r="C668" t="s">
        <v>306</v>
      </c>
      <c r="D668" s="8">
        <v>46047</v>
      </c>
      <c r="E668" t="s">
        <v>116</v>
      </c>
      <c r="F668" t="s">
        <v>18</v>
      </c>
      <c r="G668" t="s">
        <v>18</v>
      </c>
      <c r="H668" t="s">
        <v>143</v>
      </c>
      <c r="I668" t="s">
        <v>39</v>
      </c>
      <c r="J668" t="s">
        <v>20</v>
      </c>
      <c r="K668">
        <v>3</v>
      </c>
      <c r="L668">
        <v>768737</v>
      </c>
      <c r="M668">
        <v>50000</v>
      </c>
      <c r="N668" t="s">
        <v>137</v>
      </c>
      <c r="O668" t="s">
        <v>165</v>
      </c>
      <c r="P668" t="s">
        <v>156</v>
      </c>
      <c r="Q668" t="s">
        <v>21</v>
      </c>
    </row>
    <row r="669" spans="1:17" x14ac:dyDescent="0.25">
      <c r="A669" t="s">
        <v>1144</v>
      </c>
      <c r="B669" t="s">
        <v>339</v>
      </c>
      <c r="C669" t="s">
        <v>340</v>
      </c>
      <c r="D669" s="8">
        <v>46160</v>
      </c>
      <c r="E669" t="s">
        <v>26</v>
      </c>
      <c r="F669" t="s">
        <v>27</v>
      </c>
      <c r="G669" t="s">
        <v>27</v>
      </c>
      <c r="H669" t="s">
        <v>143</v>
      </c>
      <c r="I669" t="s">
        <v>173</v>
      </c>
      <c r="J669" t="s">
        <v>32</v>
      </c>
      <c r="K669">
        <v>3</v>
      </c>
      <c r="M669">
        <v>25000</v>
      </c>
      <c r="N669" t="s">
        <v>137</v>
      </c>
      <c r="O669" t="s">
        <v>407</v>
      </c>
      <c r="P669" t="s">
        <v>156</v>
      </c>
      <c r="Q669" t="s">
        <v>1317</v>
      </c>
    </row>
    <row r="670" spans="1:17" x14ac:dyDescent="0.25">
      <c r="A670" t="s">
        <v>1145</v>
      </c>
      <c r="B670" t="s">
        <v>145</v>
      </c>
      <c r="C670" t="s">
        <v>146</v>
      </c>
      <c r="D670" s="8">
        <v>46062</v>
      </c>
      <c r="E670" t="s">
        <v>114</v>
      </c>
      <c r="F670" t="s">
        <v>31</v>
      </c>
      <c r="G670" t="s">
        <v>31</v>
      </c>
      <c r="H670" t="s">
        <v>160</v>
      </c>
      <c r="I670" t="s">
        <v>169</v>
      </c>
      <c r="J670" t="s">
        <v>35</v>
      </c>
      <c r="K670">
        <v>6</v>
      </c>
      <c r="L670">
        <v>1535144</v>
      </c>
      <c r="M670">
        <v>35000</v>
      </c>
      <c r="N670" t="s">
        <v>137</v>
      </c>
      <c r="O670" t="s">
        <v>138</v>
      </c>
      <c r="P670" t="s">
        <v>156</v>
      </c>
      <c r="Q670" t="s">
        <v>21</v>
      </c>
    </row>
    <row r="671" spans="1:17" x14ac:dyDescent="0.25">
      <c r="A671" t="s">
        <v>1146</v>
      </c>
      <c r="B671" t="s">
        <v>881</v>
      </c>
      <c r="C671" t="s">
        <v>159</v>
      </c>
      <c r="D671" s="8">
        <v>46086</v>
      </c>
      <c r="E671" t="s">
        <v>115</v>
      </c>
      <c r="F671" t="s">
        <v>23</v>
      </c>
      <c r="G671" t="s">
        <v>23</v>
      </c>
      <c r="H671" t="s">
        <v>1315</v>
      </c>
      <c r="I671" t="s">
        <v>173</v>
      </c>
      <c r="J671" t="s">
        <v>32</v>
      </c>
      <c r="K671">
        <v>2</v>
      </c>
      <c r="L671">
        <v>1653829</v>
      </c>
      <c r="M671">
        <v>15000</v>
      </c>
      <c r="N671" t="s">
        <v>37</v>
      </c>
      <c r="O671" t="s">
        <v>149</v>
      </c>
      <c r="P671" t="s">
        <v>156</v>
      </c>
      <c r="Q671" t="s">
        <v>21</v>
      </c>
    </row>
    <row r="672" spans="1:17" x14ac:dyDescent="0.25">
      <c r="A672" t="s">
        <v>1147</v>
      </c>
      <c r="B672" t="s">
        <v>584</v>
      </c>
      <c r="C672" t="s">
        <v>189</v>
      </c>
      <c r="D672" s="8">
        <v>46156</v>
      </c>
      <c r="E672" t="s">
        <v>26</v>
      </c>
      <c r="F672" t="s">
        <v>27</v>
      </c>
      <c r="G672" t="s">
        <v>27</v>
      </c>
      <c r="H672" t="s">
        <v>28</v>
      </c>
      <c r="I672" t="s">
        <v>147</v>
      </c>
      <c r="J672" t="s">
        <v>29</v>
      </c>
      <c r="K672">
        <v>5</v>
      </c>
      <c r="L672">
        <v>501486</v>
      </c>
      <c r="M672">
        <v>25000</v>
      </c>
      <c r="N672" t="s">
        <v>137</v>
      </c>
      <c r="O672" t="s">
        <v>138</v>
      </c>
      <c r="P672" t="s">
        <v>139</v>
      </c>
      <c r="Q672" t="s">
        <v>21</v>
      </c>
    </row>
    <row r="673" spans="1:17" x14ac:dyDescent="0.25">
      <c r="A673" t="s">
        <v>1148</v>
      </c>
      <c r="B673" t="s">
        <v>770</v>
      </c>
      <c r="C673" t="s">
        <v>246</v>
      </c>
      <c r="D673" s="8">
        <v>46057</v>
      </c>
      <c r="E673" t="s">
        <v>114</v>
      </c>
      <c r="F673" t="s">
        <v>31</v>
      </c>
      <c r="G673" t="s">
        <v>31</v>
      </c>
      <c r="H673" t="s">
        <v>28</v>
      </c>
      <c r="I673" t="s">
        <v>173</v>
      </c>
      <c r="J673" t="s">
        <v>32</v>
      </c>
      <c r="K673">
        <v>3</v>
      </c>
      <c r="L673">
        <v>1998647</v>
      </c>
      <c r="M673">
        <v>15000</v>
      </c>
      <c r="N673" t="s">
        <v>43</v>
      </c>
      <c r="O673" t="s">
        <v>138</v>
      </c>
      <c r="P673" t="s">
        <v>156</v>
      </c>
      <c r="Q673" t="s">
        <v>38</v>
      </c>
    </row>
    <row r="674" spans="1:17" x14ac:dyDescent="0.25">
      <c r="A674" t="s">
        <v>1149</v>
      </c>
      <c r="B674" t="s">
        <v>835</v>
      </c>
      <c r="C674" t="s">
        <v>297</v>
      </c>
      <c r="D674" s="8">
        <v>46049</v>
      </c>
      <c r="E674" t="s">
        <v>116</v>
      </c>
      <c r="F674" t="s">
        <v>34</v>
      </c>
      <c r="G674" t="s">
        <v>34</v>
      </c>
      <c r="H674" t="s">
        <v>160</v>
      </c>
      <c r="I674" t="s">
        <v>147</v>
      </c>
      <c r="J674" t="s">
        <v>20</v>
      </c>
      <c r="K674">
        <v>4</v>
      </c>
      <c r="L674">
        <v>1468529</v>
      </c>
      <c r="M674">
        <v>50000</v>
      </c>
      <c r="N674" t="s">
        <v>214</v>
      </c>
      <c r="O674" t="s">
        <v>161</v>
      </c>
      <c r="P674" t="s">
        <v>156</v>
      </c>
      <c r="Q674" t="s">
        <v>21</v>
      </c>
    </row>
    <row r="675" spans="1:17" x14ac:dyDescent="0.25">
      <c r="A675" t="s">
        <v>1150</v>
      </c>
      <c r="B675" t="s">
        <v>372</v>
      </c>
      <c r="C675" t="s">
        <v>198</v>
      </c>
      <c r="D675" s="8">
        <v>46101</v>
      </c>
      <c r="E675" t="s">
        <v>115</v>
      </c>
      <c r="F675" t="s">
        <v>23</v>
      </c>
      <c r="G675" t="s">
        <v>23</v>
      </c>
      <c r="H675" t="s">
        <v>160</v>
      </c>
      <c r="I675" t="s">
        <v>136</v>
      </c>
      <c r="J675" t="s">
        <v>32</v>
      </c>
      <c r="K675">
        <v>6</v>
      </c>
      <c r="L675">
        <v>2396613</v>
      </c>
      <c r="M675">
        <v>15000</v>
      </c>
      <c r="N675" t="s">
        <v>137</v>
      </c>
      <c r="O675" t="s">
        <v>161</v>
      </c>
      <c r="P675" t="s">
        <v>156</v>
      </c>
      <c r="Q675" t="s">
        <v>21</v>
      </c>
    </row>
    <row r="676" spans="1:17" x14ac:dyDescent="0.25">
      <c r="A676" t="s">
        <v>1151</v>
      </c>
      <c r="B676" t="s">
        <v>678</v>
      </c>
      <c r="C676" t="s">
        <v>679</v>
      </c>
      <c r="D676" s="8">
        <v>46160</v>
      </c>
      <c r="E676" t="s">
        <v>26</v>
      </c>
      <c r="F676" t="s">
        <v>27</v>
      </c>
      <c r="G676" t="s">
        <v>27</v>
      </c>
      <c r="H676" t="s">
        <v>1315</v>
      </c>
      <c r="I676" t="s">
        <v>169</v>
      </c>
      <c r="J676" t="s">
        <v>20</v>
      </c>
      <c r="K676">
        <v>6</v>
      </c>
      <c r="L676">
        <v>339929</v>
      </c>
      <c r="M676">
        <v>35000</v>
      </c>
      <c r="N676" t="s">
        <v>137</v>
      </c>
      <c r="O676" t="s">
        <v>165</v>
      </c>
      <c r="P676" t="s">
        <v>156</v>
      </c>
      <c r="Q676" t="s">
        <v>21</v>
      </c>
    </row>
    <row r="677" spans="1:17" x14ac:dyDescent="0.25">
      <c r="A677" t="s">
        <v>1152</v>
      </c>
      <c r="B677" t="s">
        <v>286</v>
      </c>
      <c r="C677" t="s">
        <v>287</v>
      </c>
      <c r="D677" s="8">
        <v>46140</v>
      </c>
      <c r="E677" t="s">
        <v>117</v>
      </c>
      <c r="F677" t="s">
        <v>31</v>
      </c>
      <c r="G677" t="s">
        <v>31</v>
      </c>
      <c r="H677" t="s">
        <v>143</v>
      </c>
      <c r="I677" t="s">
        <v>147</v>
      </c>
      <c r="J677" t="s">
        <v>35</v>
      </c>
      <c r="K677">
        <v>6</v>
      </c>
      <c r="L677">
        <v>898904</v>
      </c>
      <c r="M677">
        <v>15000</v>
      </c>
      <c r="N677" t="s">
        <v>137</v>
      </c>
      <c r="O677" t="s">
        <v>138</v>
      </c>
      <c r="P677" t="s">
        <v>156</v>
      </c>
      <c r="Q677" t="s">
        <v>21</v>
      </c>
    </row>
    <row r="678" spans="1:17" x14ac:dyDescent="0.25">
      <c r="A678" t="s">
        <v>1153</v>
      </c>
      <c r="B678" t="s">
        <v>154</v>
      </c>
      <c r="C678" t="s">
        <v>155</v>
      </c>
      <c r="D678" s="8">
        <v>46120</v>
      </c>
      <c r="E678" t="s">
        <v>117</v>
      </c>
      <c r="F678" t="s">
        <v>34</v>
      </c>
      <c r="G678" t="s">
        <v>34</v>
      </c>
      <c r="H678" t="s">
        <v>143</v>
      </c>
      <c r="I678" t="s">
        <v>39</v>
      </c>
      <c r="J678" t="s">
        <v>29</v>
      </c>
      <c r="K678">
        <v>3</v>
      </c>
      <c r="L678">
        <v>984151</v>
      </c>
      <c r="M678">
        <v>0</v>
      </c>
      <c r="N678" t="s">
        <v>137</v>
      </c>
      <c r="O678" t="s">
        <v>161</v>
      </c>
      <c r="P678" t="s">
        <v>139</v>
      </c>
      <c r="Q678" t="s">
        <v>1318</v>
      </c>
    </row>
    <row r="679" spans="1:17" x14ac:dyDescent="0.25">
      <c r="A679" t="s">
        <v>1154</v>
      </c>
      <c r="B679" t="s">
        <v>725</v>
      </c>
      <c r="C679" t="s">
        <v>726</v>
      </c>
      <c r="D679" s="8">
        <v>46125</v>
      </c>
      <c r="E679" t="s">
        <v>117</v>
      </c>
      <c r="F679" t="s">
        <v>34</v>
      </c>
      <c r="G679" t="s">
        <v>34</v>
      </c>
      <c r="H679" t="s">
        <v>28</v>
      </c>
      <c r="I679" t="s">
        <v>169</v>
      </c>
      <c r="J679" t="s">
        <v>35</v>
      </c>
      <c r="K679">
        <v>2</v>
      </c>
      <c r="L679">
        <v>307723</v>
      </c>
      <c r="M679">
        <v>15000</v>
      </c>
      <c r="N679" t="s">
        <v>137</v>
      </c>
      <c r="O679" t="s">
        <v>138</v>
      </c>
      <c r="P679" t="s">
        <v>139</v>
      </c>
      <c r="Q679" t="s">
        <v>21</v>
      </c>
    </row>
    <row r="680" spans="1:17" x14ac:dyDescent="0.25">
      <c r="A680" t="s">
        <v>1155</v>
      </c>
      <c r="B680" t="s">
        <v>897</v>
      </c>
      <c r="C680" t="s">
        <v>456</v>
      </c>
      <c r="D680" s="8">
        <v>46190</v>
      </c>
      <c r="E680" t="s">
        <v>113</v>
      </c>
      <c r="F680" t="s">
        <v>31</v>
      </c>
      <c r="G680" t="s">
        <v>31</v>
      </c>
      <c r="H680" t="s">
        <v>1315</v>
      </c>
      <c r="I680" t="s">
        <v>177</v>
      </c>
      <c r="J680" t="s">
        <v>32</v>
      </c>
      <c r="K680">
        <v>6</v>
      </c>
      <c r="L680">
        <v>1263429</v>
      </c>
      <c r="M680">
        <v>35000</v>
      </c>
      <c r="N680" t="s">
        <v>137</v>
      </c>
      <c r="O680" t="s">
        <v>165</v>
      </c>
      <c r="P680" t="s">
        <v>139</v>
      </c>
      <c r="Q680" t="s">
        <v>21</v>
      </c>
    </row>
    <row r="681" spans="1:17" x14ac:dyDescent="0.25">
      <c r="A681" t="s">
        <v>1156</v>
      </c>
      <c r="B681" t="s">
        <v>242</v>
      </c>
      <c r="C681" t="s">
        <v>176</v>
      </c>
      <c r="D681" s="8">
        <v>46025</v>
      </c>
      <c r="E681" t="s">
        <v>116</v>
      </c>
      <c r="F681" t="s">
        <v>18</v>
      </c>
      <c r="G681" t="s">
        <v>18</v>
      </c>
      <c r="H681" t="s">
        <v>160</v>
      </c>
      <c r="I681" t="s">
        <v>169</v>
      </c>
      <c r="J681" t="s">
        <v>20</v>
      </c>
      <c r="K681">
        <v>6</v>
      </c>
      <c r="L681">
        <v>1778715</v>
      </c>
      <c r="M681">
        <v>0</v>
      </c>
      <c r="N681" t="s">
        <v>137</v>
      </c>
      <c r="O681" t="s">
        <v>161</v>
      </c>
      <c r="P681" t="s">
        <v>156</v>
      </c>
      <c r="Q681" t="s">
        <v>1318</v>
      </c>
    </row>
    <row r="682" spans="1:17" x14ac:dyDescent="0.25">
      <c r="A682" t="s">
        <v>1157</v>
      </c>
      <c r="B682" t="s">
        <v>795</v>
      </c>
      <c r="C682" t="s">
        <v>435</v>
      </c>
      <c r="D682" s="8">
        <v>46148</v>
      </c>
      <c r="E682" t="s">
        <v>26</v>
      </c>
      <c r="F682" t="s">
        <v>34</v>
      </c>
      <c r="G682" t="s">
        <v>34</v>
      </c>
      <c r="H682" t="s">
        <v>28</v>
      </c>
      <c r="I682" t="s">
        <v>136</v>
      </c>
      <c r="J682" t="s">
        <v>35</v>
      </c>
      <c r="K682">
        <v>5</v>
      </c>
      <c r="L682">
        <v>398922</v>
      </c>
      <c r="M682">
        <v>15000</v>
      </c>
      <c r="N682" t="s">
        <v>137</v>
      </c>
      <c r="O682" t="s">
        <v>149</v>
      </c>
      <c r="P682" t="s">
        <v>139</v>
      </c>
      <c r="Q682" t="s">
        <v>21</v>
      </c>
    </row>
    <row r="683" spans="1:17" x14ac:dyDescent="0.25">
      <c r="A683" t="s">
        <v>1158</v>
      </c>
      <c r="B683" t="s">
        <v>374</v>
      </c>
      <c r="C683" t="s">
        <v>202</v>
      </c>
      <c r="D683" s="8">
        <v>46168</v>
      </c>
      <c r="E683" t="s">
        <v>26</v>
      </c>
      <c r="F683" t="s">
        <v>18</v>
      </c>
      <c r="G683" t="s">
        <v>18</v>
      </c>
      <c r="H683" t="s">
        <v>160</v>
      </c>
      <c r="I683" t="s">
        <v>147</v>
      </c>
      <c r="J683" t="s">
        <v>32</v>
      </c>
      <c r="K683">
        <v>7</v>
      </c>
      <c r="L683">
        <v>1216807</v>
      </c>
      <c r="M683">
        <v>0</v>
      </c>
      <c r="N683" t="s">
        <v>137</v>
      </c>
      <c r="O683" t="s">
        <v>165</v>
      </c>
      <c r="P683" t="s">
        <v>156</v>
      </c>
      <c r="Q683" t="s">
        <v>1318</v>
      </c>
    </row>
    <row r="684" spans="1:17" x14ac:dyDescent="0.25">
      <c r="A684" t="s">
        <v>1159</v>
      </c>
      <c r="B684" t="s">
        <v>141</v>
      </c>
      <c r="C684" t="s">
        <v>142</v>
      </c>
      <c r="D684" s="8">
        <v>46155</v>
      </c>
      <c r="E684" t="s">
        <v>26</v>
      </c>
      <c r="F684" t="s">
        <v>31</v>
      </c>
      <c r="G684" t="s">
        <v>31</v>
      </c>
      <c r="H684" t="s">
        <v>143</v>
      </c>
      <c r="I684" t="s">
        <v>173</v>
      </c>
      <c r="J684" t="s">
        <v>20</v>
      </c>
      <c r="K684">
        <v>4</v>
      </c>
      <c r="L684">
        <v>269716</v>
      </c>
      <c r="M684">
        <v>35000</v>
      </c>
      <c r="N684" t="s">
        <v>137</v>
      </c>
      <c r="O684" t="s">
        <v>161</v>
      </c>
      <c r="P684" t="s">
        <v>156</v>
      </c>
      <c r="Q684" t="s">
        <v>21</v>
      </c>
    </row>
    <row r="685" spans="1:17" x14ac:dyDescent="0.25">
      <c r="A685" t="s">
        <v>1160</v>
      </c>
      <c r="B685" t="s">
        <v>479</v>
      </c>
      <c r="C685" t="s">
        <v>164</v>
      </c>
      <c r="D685" s="8">
        <v>46180</v>
      </c>
      <c r="E685" t="s">
        <v>113</v>
      </c>
      <c r="F685" t="s">
        <v>23</v>
      </c>
      <c r="G685" t="s">
        <v>23</v>
      </c>
      <c r="H685" t="s">
        <v>143</v>
      </c>
      <c r="I685" t="s">
        <v>177</v>
      </c>
      <c r="J685" t="s">
        <v>25</v>
      </c>
      <c r="L685">
        <v>1675675</v>
      </c>
      <c r="M685">
        <v>35000</v>
      </c>
      <c r="N685" t="s">
        <v>137</v>
      </c>
      <c r="O685" t="s">
        <v>138</v>
      </c>
      <c r="P685" t="s">
        <v>156</v>
      </c>
      <c r="Q685" t="s">
        <v>1319</v>
      </c>
    </row>
    <row r="686" spans="1:17" x14ac:dyDescent="0.25">
      <c r="A686" t="s">
        <v>1161</v>
      </c>
      <c r="B686" t="s">
        <v>475</v>
      </c>
      <c r="C686" t="s">
        <v>213</v>
      </c>
      <c r="D686" s="8">
        <v>46026</v>
      </c>
      <c r="E686" t="s">
        <v>116</v>
      </c>
      <c r="F686" t="s">
        <v>18</v>
      </c>
      <c r="G686" t="s">
        <v>18</v>
      </c>
      <c r="H686" t="s">
        <v>160</v>
      </c>
      <c r="I686" t="s">
        <v>39</v>
      </c>
      <c r="J686" t="s">
        <v>32</v>
      </c>
      <c r="K686">
        <v>7</v>
      </c>
      <c r="L686">
        <v>760514</v>
      </c>
      <c r="M686">
        <v>25000</v>
      </c>
      <c r="N686" t="s">
        <v>37</v>
      </c>
      <c r="O686" t="s">
        <v>165</v>
      </c>
      <c r="P686" t="s">
        <v>156</v>
      </c>
      <c r="Q686" t="s">
        <v>21</v>
      </c>
    </row>
    <row r="687" spans="1:17" x14ac:dyDescent="0.25">
      <c r="A687" t="s">
        <v>1162</v>
      </c>
      <c r="B687" t="s">
        <v>401</v>
      </c>
      <c r="C687" t="s">
        <v>189</v>
      </c>
      <c r="D687" s="8">
        <v>46152</v>
      </c>
      <c r="E687" t="s">
        <v>26</v>
      </c>
      <c r="F687" t="s">
        <v>31</v>
      </c>
      <c r="G687" t="s">
        <v>31</v>
      </c>
      <c r="H687" t="s">
        <v>160</v>
      </c>
      <c r="I687" t="s">
        <v>39</v>
      </c>
      <c r="J687" t="s">
        <v>20</v>
      </c>
      <c r="K687">
        <v>2</v>
      </c>
      <c r="L687">
        <v>386964</v>
      </c>
      <c r="M687">
        <v>15000</v>
      </c>
      <c r="N687" t="s">
        <v>137</v>
      </c>
      <c r="O687" t="s">
        <v>161</v>
      </c>
      <c r="P687" t="s">
        <v>156</v>
      </c>
      <c r="Q687" t="s">
        <v>21</v>
      </c>
    </row>
    <row r="688" spans="1:17" x14ac:dyDescent="0.25">
      <c r="A688" t="s">
        <v>1163</v>
      </c>
      <c r="B688" t="s">
        <v>145</v>
      </c>
      <c r="C688" t="s">
        <v>146</v>
      </c>
      <c r="D688" s="8">
        <v>46158</v>
      </c>
      <c r="E688" t="s">
        <v>26</v>
      </c>
      <c r="F688" t="s">
        <v>23</v>
      </c>
      <c r="G688" t="s">
        <v>23</v>
      </c>
      <c r="H688" t="s">
        <v>160</v>
      </c>
      <c r="I688" t="s">
        <v>169</v>
      </c>
      <c r="J688" t="s">
        <v>20</v>
      </c>
      <c r="K688">
        <v>2</v>
      </c>
      <c r="L688">
        <v>1327148</v>
      </c>
      <c r="M688">
        <v>50000</v>
      </c>
      <c r="N688" t="s">
        <v>137</v>
      </c>
      <c r="O688" t="s">
        <v>149</v>
      </c>
      <c r="P688" t="s">
        <v>139</v>
      </c>
      <c r="Q688" t="s">
        <v>21</v>
      </c>
    </row>
    <row r="689" spans="1:17" x14ac:dyDescent="0.25">
      <c r="A689" t="s">
        <v>1164</v>
      </c>
      <c r="B689" t="s">
        <v>934</v>
      </c>
      <c r="C689" t="s">
        <v>380</v>
      </c>
      <c r="D689" s="8">
        <v>46159</v>
      </c>
      <c r="E689" t="s">
        <v>26</v>
      </c>
      <c r="F689" t="s">
        <v>34</v>
      </c>
      <c r="G689" t="s">
        <v>34</v>
      </c>
      <c r="H689" t="s">
        <v>160</v>
      </c>
      <c r="I689" t="s">
        <v>177</v>
      </c>
      <c r="J689" t="s">
        <v>20</v>
      </c>
      <c r="K689">
        <v>6</v>
      </c>
      <c r="L689">
        <v>193240</v>
      </c>
      <c r="M689">
        <v>50000</v>
      </c>
      <c r="N689" t="s">
        <v>137</v>
      </c>
      <c r="O689" t="s">
        <v>149</v>
      </c>
      <c r="P689" t="s">
        <v>156</v>
      </c>
      <c r="Q689" t="s">
        <v>21</v>
      </c>
    </row>
    <row r="690" spans="1:17" x14ac:dyDescent="0.25">
      <c r="A690" t="s">
        <v>1165</v>
      </c>
      <c r="B690" t="s">
        <v>207</v>
      </c>
      <c r="C690" t="s">
        <v>168</v>
      </c>
      <c r="D690" s="8">
        <v>46120</v>
      </c>
      <c r="E690" t="s">
        <v>117</v>
      </c>
      <c r="F690" t="s">
        <v>18</v>
      </c>
      <c r="G690" t="s">
        <v>18</v>
      </c>
      <c r="H690" t="s">
        <v>160</v>
      </c>
      <c r="I690" t="s">
        <v>147</v>
      </c>
      <c r="J690" t="s">
        <v>35</v>
      </c>
      <c r="K690">
        <v>1</v>
      </c>
      <c r="L690">
        <v>134348</v>
      </c>
      <c r="M690">
        <v>50000</v>
      </c>
      <c r="N690" t="s">
        <v>148</v>
      </c>
      <c r="O690" t="s">
        <v>138</v>
      </c>
      <c r="P690" t="s">
        <v>156</v>
      </c>
      <c r="Q690" t="s">
        <v>21</v>
      </c>
    </row>
    <row r="691" spans="1:17" x14ac:dyDescent="0.25">
      <c r="A691" t="s">
        <v>1166</v>
      </c>
      <c r="B691" t="s">
        <v>718</v>
      </c>
      <c r="C691" t="s">
        <v>155</v>
      </c>
      <c r="D691" s="8">
        <v>46189</v>
      </c>
      <c r="E691" t="s">
        <v>113</v>
      </c>
      <c r="F691" t="s">
        <v>31</v>
      </c>
      <c r="G691" t="s">
        <v>31</v>
      </c>
      <c r="H691" t="s">
        <v>28</v>
      </c>
      <c r="I691" t="s">
        <v>169</v>
      </c>
      <c r="J691" t="s">
        <v>29</v>
      </c>
      <c r="K691">
        <v>6</v>
      </c>
      <c r="L691">
        <v>2118284</v>
      </c>
      <c r="M691">
        <v>50000</v>
      </c>
      <c r="N691" t="s">
        <v>137</v>
      </c>
      <c r="O691" t="s">
        <v>138</v>
      </c>
      <c r="P691" t="s">
        <v>139</v>
      </c>
      <c r="Q691" t="s">
        <v>21</v>
      </c>
    </row>
    <row r="692" spans="1:17" x14ac:dyDescent="0.25">
      <c r="A692" t="s">
        <v>1167</v>
      </c>
      <c r="B692" t="s">
        <v>979</v>
      </c>
      <c r="C692" t="s">
        <v>679</v>
      </c>
      <c r="D692" s="8">
        <v>46087</v>
      </c>
      <c r="E692" t="s">
        <v>115</v>
      </c>
      <c r="F692" t="s">
        <v>27</v>
      </c>
      <c r="G692" t="s">
        <v>27</v>
      </c>
      <c r="H692" t="s">
        <v>1315</v>
      </c>
      <c r="I692" t="s">
        <v>177</v>
      </c>
      <c r="J692" t="s">
        <v>29</v>
      </c>
      <c r="K692">
        <v>4</v>
      </c>
      <c r="L692">
        <v>1567648</v>
      </c>
      <c r="M692">
        <v>35000</v>
      </c>
      <c r="N692" t="s">
        <v>43</v>
      </c>
      <c r="O692" t="s">
        <v>161</v>
      </c>
      <c r="P692" t="s">
        <v>139</v>
      </c>
      <c r="Q692" t="s">
        <v>38</v>
      </c>
    </row>
    <row r="693" spans="1:17" x14ac:dyDescent="0.25">
      <c r="A693" t="s">
        <v>1168</v>
      </c>
      <c r="B693" t="s">
        <v>228</v>
      </c>
      <c r="C693" t="s">
        <v>217</v>
      </c>
      <c r="D693" s="8">
        <v>46067</v>
      </c>
      <c r="E693" t="s">
        <v>114</v>
      </c>
      <c r="F693" t="s">
        <v>34</v>
      </c>
      <c r="G693" t="s">
        <v>34</v>
      </c>
      <c r="H693" t="s">
        <v>143</v>
      </c>
      <c r="I693" t="s">
        <v>173</v>
      </c>
      <c r="J693" t="s">
        <v>32</v>
      </c>
      <c r="K693">
        <v>2</v>
      </c>
      <c r="L693">
        <v>1749284</v>
      </c>
      <c r="M693">
        <v>25000</v>
      </c>
      <c r="N693" t="s">
        <v>137</v>
      </c>
      <c r="O693" t="s">
        <v>161</v>
      </c>
      <c r="P693" t="s">
        <v>139</v>
      </c>
      <c r="Q693" t="s">
        <v>21</v>
      </c>
    </row>
    <row r="694" spans="1:17" x14ac:dyDescent="0.25">
      <c r="A694" t="s">
        <v>1169</v>
      </c>
      <c r="B694" t="s">
        <v>743</v>
      </c>
      <c r="C694" t="s">
        <v>164</v>
      </c>
      <c r="D694" s="8">
        <v>46161</v>
      </c>
      <c r="E694" t="s">
        <v>26</v>
      </c>
      <c r="F694" t="s">
        <v>31</v>
      </c>
      <c r="G694" t="s">
        <v>31</v>
      </c>
      <c r="H694" t="s">
        <v>28</v>
      </c>
      <c r="I694" t="s">
        <v>39</v>
      </c>
      <c r="J694" t="s">
        <v>32</v>
      </c>
      <c r="K694">
        <v>2</v>
      </c>
      <c r="L694">
        <v>1072046</v>
      </c>
      <c r="M694">
        <v>35000</v>
      </c>
      <c r="N694" t="s">
        <v>148</v>
      </c>
      <c r="O694" t="s">
        <v>149</v>
      </c>
      <c r="P694" t="s">
        <v>139</v>
      </c>
      <c r="Q694" t="s">
        <v>21</v>
      </c>
    </row>
    <row r="695" spans="1:17" x14ac:dyDescent="0.25">
      <c r="A695" t="s">
        <v>1170</v>
      </c>
      <c r="B695" t="s">
        <v>498</v>
      </c>
      <c r="C695" t="s">
        <v>320</v>
      </c>
      <c r="D695" s="8">
        <v>46141</v>
      </c>
      <c r="E695" t="s">
        <v>117</v>
      </c>
      <c r="F695" t="s">
        <v>27</v>
      </c>
      <c r="G695" t="s">
        <v>27</v>
      </c>
      <c r="H695" t="s">
        <v>143</v>
      </c>
      <c r="I695" t="s">
        <v>177</v>
      </c>
      <c r="J695" t="s">
        <v>29</v>
      </c>
      <c r="K695">
        <v>3</v>
      </c>
      <c r="L695">
        <v>1644882</v>
      </c>
      <c r="M695">
        <v>25000</v>
      </c>
      <c r="N695" t="s">
        <v>137</v>
      </c>
      <c r="O695" t="s">
        <v>161</v>
      </c>
      <c r="P695" t="s">
        <v>156</v>
      </c>
      <c r="Q695" t="s">
        <v>21</v>
      </c>
    </row>
    <row r="696" spans="1:17" x14ac:dyDescent="0.25">
      <c r="A696" t="s">
        <v>1171</v>
      </c>
      <c r="B696" t="s">
        <v>475</v>
      </c>
      <c r="C696" t="s">
        <v>213</v>
      </c>
      <c r="D696" s="8">
        <v>46072</v>
      </c>
      <c r="E696" t="s">
        <v>114</v>
      </c>
      <c r="F696" t="s">
        <v>34</v>
      </c>
      <c r="G696" t="s">
        <v>34</v>
      </c>
      <c r="H696" t="s">
        <v>143</v>
      </c>
      <c r="I696" t="s">
        <v>39</v>
      </c>
      <c r="J696" t="s">
        <v>29</v>
      </c>
      <c r="K696">
        <v>5</v>
      </c>
      <c r="L696" t="s">
        <v>1172</v>
      </c>
      <c r="M696">
        <v>35000</v>
      </c>
      <c r="N696" t="s">
        <v>148</v>
      </c>
      <c r="O696" t="s">
        <v>165</v>
      </c>
      <c r="P696" t="s">
        <v>139</v>
      </c>
      <c r="Q696" t="s">
        <v>21</v>
      </c>
    </row>
    <row r="697" spans="1:17" x14ac:dyDescent="0.25">
      <c r="A697" t="s">
        <v>1173</v>
      </c>
      <c r="B697" t="s">
        <v>910</v>
      </c>
      <c r="C697" t="s">
        <v>911</v>
      </c>
      <c r="D697" s="8">
        <v>46161</v>
      </c>
      <c r="E697" t="s">
        <v>26</v>
      </c>
      <c r="F697" t="s">
        <v>18</v>
      </c>
      <c r="G697" t="s">
        <v>18</v>
      </c>
      <c r="H697" t="s">
        <v>143</v>
      </c>
      <c r="I697" t="s">
        <v>136</v>
      </c>
      <c r="J697" t="s">
        <v>35</v>
      </c>
      <c r="K697">
        <v>7</v>
      </c>
      <c r="L697">
        <v>2017166</v>
      </c>
      <c r="M697">
        <v>25000</v>
      </c>
      <c r="N697" t="s">
        <v>37</v>
      </c>
      <c r="O697" t="s">
        <v>165</v>
      </c>
      <c r="P697" t="s">
        <v>156</v>
      </c>
      <c r="Q697" t="s">
        <v>21</v>
      </c>
    </row>
    <row r="698" spans="1:17" x14ac:dyDescent="0.25">
      <c r="A698" t="s">
        <v>1174</v>
      </c>
      <c r="B698" t="s">
        <v>506</v>
      </c>
      <c r="C698" t="s">
        <v>189</v>
      </c>
      <c r="D698" s="8">
        <v>46121</v>
      </c>
      <c r="E698" t="s">
        <v>117</v>
      </c>
      <c r="F698" t="s">
        <v>18</v>
      </c>
      <c r="G698" t="s">
        <v>18</v>
      </c>
      <c r="H698" t="s">
        <v>28</v>
      </c>
      <c r="I698" t="s">
        <v>147</v>
      </c>
      <c r="J698" t="s">
        <v>29</v>
      </c>
      <c r="K698">
        <v>2</v>
      </c>
      <c r="L698">
        <v>2290555</v>
      </c>
      <c r="M698">
        <v>35000</v>
      </c>
      <c r="N698" t="s">
        <v>43</v>
      </c>
      <c r="O698" t="s">
        <v>161</v>
      </c>
      <c r="P698" t="s">
        <v>139</v>
      </c>
      <c r="Q698" t="s">
        <v>38</v>
      </c>
    </row>
    <row r="699" spans="1:17" x14ac:dyDescent="0.25">
      <c r="A699" t="s">
        <v>1175</v>
      </c>
      <c r="B699" t="s">
        <v>253</v>
      </c>
      <c r="C699" t="s">
        <v>176</v>
      </c>
      <c r="D699" s="8">
        <v>46197</v>
      </c>
      <c r="E699" t="s">
        <v>113</v>
      </c>
      <c r="F699" t="s">
        <v>18</v>
      </c>
      <c r="G699" t="s">
        <v>18</v>
      </c>
      <c r="H699" t="s">
        <v>143</v>
      </c>
      <c r="I699" t="s">
        <v>39</v>
      </c>
      <c r="J699" t="s">
        <v>25</v>
      </c>
      <c r="K699">
        <v>6</v>
      </c>
      <c r="L699">
        <v>2482919</v>
      </c>
      <c r="M699">
        <v>15000</v>
      </c>
      <c r="N699" t="s">
        <v>137</v>
      </c>
      <c r="O699" t="s">
        <v>165</v>
      </c>
      <c r="P699" t="s">
        <v>139</v>
      </c>
      <c r="Q699" t="s">
        <v>21</v>
      </c>
    </row>
    <row r="700" spans="1:17" x14ac:dyDescent="0.25">
      <c r="A700" t="s">
        <v>1176</v>
      </c>
      <c r="B700" t="s">
        <v>736</v>
      </c>
      <c r="C700" t="s">
        <v>195</v>
      </c>
      <c r="D700" s="8">
        <v>46056</v>
      </c>
      <c r="E700" t="s">
        <v>114</v>
      </c>
      <c r="F700" t="s">
        <v>23</v>
      </c>
      <c r="G700" t="s">
        <v>23</v>
      </c>
      <c r="H700" t="s">
        <v>160</v>
      </c>
      <c r="I700" t="s">
        <v>173</v>
      </c>
      <c r="J700" t="s">
        <v>20</v>
      </c>
      <c r="K700">
        <v>5</v>
      </c>
      <c r="L700">
        <v>2161304</v>
      </c>
      <c r="M700">
        <v>25000</v>
      </c>
      <c r="N700" t="s">
        <v>43</v>
      </c>
      <c r="O700" t="s">
        <v>138</v>
      </c>
      <c r="P700" t="s">
        <v>156</v>
      </c>
      <c r="Q700" t="s">
        <v>38</v>
      </c>
    </row>
    <row r="701" spans="1:17" x14ac:dyDescent="0.25">
      <c r="A701" t="s">
        <v>1177</v>
      </c>
      <c r="B701" t="s">
        <v>662</v>
      </c>
      <c r="C701" t="s">
        <v>223</v>
      </c>
      <c r="D701" s="8">
        <v>46036</v>
      </c>
      <c r="E701" t="s">
        <v>116</v>
      </c>
      <c r="F701" t="s">
        <v>18</v>
      </c>
      <c r="G701" t="s">
        <v>18</v>
      </c>
      <c r="H701" t="s">
        <v>143</v>
      </c>
      <c r="I701" t="s">
        <v>136</v>
      </c>
      <c r="J701" t="s">
        <v>20</v>
      </c>
      <c r="K701">
        <v>3</v>
      </c>
      <c r="L701">
        <v>1510447</v>
      </c>
      <c r="M701">
        <v>0</v>
      </c>
      <c r="N701" t="s">
        <v>43</v>
      </c>
      <c r="O701" t="s">
        <v>138</v>
      </c>
      <c r="P701" t="s">
        <v>139</v>
      </c>
      <c r="Q701" t="s">
        <v>1321</v>
      </c>
    </row>
    <row r="702" spans="1:17" x14ac:dyDescent="0.25">
      <c r="A702" t="s">
        <v>1178</v>
      </c>
      <c r="B702" t="s">
        <v>1026</v>
      </c>
      <c r="C702" t="s">
        <v>135</v>
      </c>
      <c r="D702" s="8">
        <v>46103</v>
      </c>
      <c r="E702" t="s">
        <v>115</v>
      </c>
      <c r="F702" t="s">
        <v>23</v>
      </c>
      <c r="G702" t="s">
        <v>23</v>
      </c>
      <c r="H702" t="s">
        <v>143</v>
      </c>
      <c r="I702" t="s">
        <v>177</v>
      </c>
      <c r="J702" t="s">
        <v>29</v>
      </c>
      <c r="K702">
        <v>3</v>
      </c>
      <c r="L702">
        <v>1993247</v>
      </c>
      <c r="M702">
        <v>35000</v>
      </c>
      <c r="N702" t="s">
        <v>137</v>
      </c>
      <c r="O702" t="s">
        <v>161</v>
      </c>
      <c r="P702" t="s">
        <v>139</v>
      </c>
      <c r="Q702" t="s">
        <v>21</v>
      </c>
    </row>
    <row r="703" spans="1:17" x14ac:dyDescent="0.25">
      <c r="A703" t="s">
        <v>1179</v>
      </c>
      <c r="B703" t="s">
        <v>235</v>
      </c>
      <c r="C703" t="s">
        <v>142</v>
      </c>
      <c r="D703" s="8">
        <v>46159</v>
      </c>
      <c r="E703" t="s">
        <v>26</v>
      </c>
      <c r="F703" t="s">
        <v>34</v>
      </c>
      <c r="G703" t="s">
        <v>34</v>
      </c>
      <c r="H703" t="s">
        <v>143</v>
      </c>
      <c r="I703" t="s">
        <v>173</v>
      </c>
      <c r="J703" t="s">
        <v>29</v>
      </c>
      <c r="K703">
        <v>5</v>
      </c>
      <c r="L703">
        <v>1838322</v>
      </c>
      <c r="M703">
        <v>15000</v>
      </c>
      <c r="N703" t="s">
        <v>137</v>
      </c>
      <c r="O703" t="s">
        <v>138</v>
      </c>
      <c r="P703" t="s">
        <v>139</v>
      </c>
      <c r="Q703" t="s">
        <v>21</v>
      </c>
    </row>
    <row r="704" spans="1:17" x14ac:dyDescent="0.25">
      <c r="A704" t="s">
        <v>1180</v>
      </c>
      <c r="B704" t="s">
        <v>951</v>
      </c>
      <c r="C704" t="s">
        <v>762</v>
      </c>
      <c r="D704" s="8">
        <v>46033</v>
      </c>
      <c r="E704" t="s">
        <v>116</v>
      </c>
      <c r="F704" t="s">
        <v>23</v>
      </c>
      <c r="G704" t="s">
        <v>23</v>
      </c>
      <c r="H704" t="s">
        <v>1315</v>
      </c>
      <c r="I704" t="s">
        <v>39</v>
      </c>
      <c r="J704" t="s">
        <v>35</v>
      </c>
      <c r="K704">
        <v>4</v>
      </c>
      <c r="L704">
        <v>688742</v>
      </c>
      <c r="M704">
        <v>35000</v>
      </c>
      <c r="N704" t="s">
        <v>137</v>
      </c>
      <c r="O704" t="s">
        <v>161</v>
      </c>
      <c r="P704" t="s">
        <v>156</v>
      </c>
      <c r="Q704" t="s">
        <v>21</v>
      </c>
    </row>
    <row r="705" spans="1:17" x14ac:dyDescent="0.25">
      <c r="A705" t="s">
        <v>1181</v>
      </c>
      <c r="B705" t="s">
        <v>204</v>
      </c>
      <c r="C705" t="s">
        <v>205</v>
      </c>
      <c r="D705" s="8">
        <v>46028</v>
      </c>
      <c r="E705" t="s">
        <v>116</v>
      </c>
      <c r="F705" t="s">
        <v>23</v>
      </c>
      <c r="G705" t="s">
        <v>23</v>
      </c>
      <c r="H705" t="s">
        <v>143</v>
      </c>
      <c r="I705" t="s">
        <v>177</v>
      </c>
      <c r="J705" t="s">
        <v>35</v>
      </c>
      <c r="K705">
        <v>3</v>
      </c>
      <c r="L705">
        <v>2182620</v>
      </c>
      <c r="M705">
        <v>50000</v>
      </c>
      <c r="N705" t="s">
        <v>148</v>
      </c>
      <c r="O705" t="s">
        <v>149</v>
      </c>
      <c r="P705" t="s">
        <v>139</v>
      </c>
      <c r="Q705" t="s">
        <v>21</v>
      </c>
    </row>
    <row r="706" spans="1:17" x14ac:dyDescent="0.25">
      <c r="A706" t="s">
        <v>1182</v>
      </c>
      <c r="B706" t="s">
        <v>462</v>
      </c>
      <c r="C706" t="s">
        <v>202</v>
      </c>
      <c r="D706" s="8">
        <v>46123</v>
      </c>
      <c r="E706" t="s">
        <v>117</v>
      </c>
      <c r="F706" t="s">
        <v>34</v>
      </c>
      <c r="G706" t="s">
        <v>34</v>
      </c>
      <c r="H706" t="s">
        <v>160</v>
      </c>
      <c r="I706" t="s">
        <v>136</v>
      </c>
      <c r="J706" t="s">
        <v>35</v>
      </c>
      <c r="K706">
        <v>7</v>
      </c>
      <c r="L706">
        <v>746989</v>
      </c>
      <c r="M706">
        <v>0</v>
      </c>
      <c r="N706" t="s">
        <v>37</v>
      </c>
      <c r="O706" t="s">
        <v>165</v>
      </c>
      <c r="P706" t="s">
        <v>139</v>
      </c>
      <c r="Q706" t="s">
        <v>1318</v>
      </c>
    </row>
    <row r="707" spans="1:17" x14ac:dyDescent="0.25">
      <c r="A707" t="s">
        <v>1183</v>
      </c>
      <c r="B707" t="s">
        <v>494</v>
      </c>
      <c r="C707" t="s">
        <v>495</v>
      </c>
      <c r="D707" s="8">
        <v>46182</v>
      </c>
      <c r="E707" t="s">
        <v>113</v>
      </c>
      <c r="F707" t="s">
        <v>27</v>
      </c>
      <c r="G707" t="s">
        <v>27</v>
      </c>
      <c r="H707" t="s">
        <v>160</v>
      </c>
      <c r="I707" t="s">
        <v>39</v>
      </c>
      <c r="J707" t="s">
        <v>25</v>
      </c>
      <c r="K707">
        <v>3</v>
      </c>
      <c r="L707">
        <v>1872122</v>
      </c>
      <c r="M707">
        <v>15000</v>
      </c>
      <c r="N707" t="s">
        <v>148</v>
      </c>
      <c r="O707" t="s">
        <v>138</v>
      </c>
      <c r="P707" t="s">
        <v>156</v>
      </c>
      <c r="Q707" t="s">
        <v>21</v>
      </c>
    </row>
    <row r="708" spans="1:17" x14ac:dyDescent="0.25">
      <c r="A708" t="s">
        <v>1184</v>
      </c>
      <c r="B708" t="s">
        <v>368</v>
      </c>
      <c r="C708" t="s">
        <v>36</v>
      </c>
      <c r="D708" s="8">
        <v>46189</v>
      </c>
      <c r="E708" t="s">
        <v>113</v>
      </c>
      <c r="F708" t="s">
        <v>23</v>
      </c>
      <c r="G708" t="s">
        <v>23</v>
      </c>
      <c r="H708" t="s">
        <v>1315</v>
      </c>
      <c r="I708" t="s">
        <v>169</v>
      </c>
      <c r="J708" t="s">
        <v>32</v>
      </c>
      <c r="K708">
        <v>3</v>
      </c>
      <c r="L708">
        <v>1121616</v>
      </c>
      <c r="M708">
        <v>25000</v>
      </c>
      <c r="N708" t="s">
        <v>137</v>
      </c>
      <c r="O708" t="s">
        <v>138</v>
      </c>
      <c r="P708" t="s">
        <v>156</v>
      </c>
      <c r="Q708" t="s">
        <v>21</v>
      </c>
    </row>
    <row r="709" spans="1:17" x14ac:dyDescent="0.25">
      <c r="A709" t="s">
        <v>1185</v>
      </c>
      <c r="B709" t="s">
        <v>1186</v>
      </c>
      <c r="C709" t="s">
        <v>380</v>
      </c>
      <c r="D709" s="8">
        <v>46164</v>
      </c>
      <c r="E709" t="s">
        <v>26</v>
      </c>
      <c r="F709" t="s">
        <v>23</v>
      </c>
      <c r="G709" t="s">
        <v>23</v>
      </c>
      <c r="H709" t="s">
        <v>1315</v>
      </c>
      <c r="I709" t="s">
        <v>39</v>
      </c>
      <c r="J709" t="s">
        <v>29</v>
      </c>
      <c r="K709">
        <v>7</v>
      </c>
      <c r="L709">
        <v>251591</v>
      </c>
      <c r="M709">
        <v>15000</v>
      </c>
      <c r="N709" t="s">
        <v>37</v>
      </c>
      <c r="O709" t="s">
        <v>149</v>
      </c>
      <c r="P709" t="s">
        <v>139</v>
      </c>
      <c r="Q709" t="s">
        <v>21</v>
      </c>
    </row>
    <row r="710" spans="1:17" x14ac:dyDescent="0.25">
      <c r="A710" t="s">
        <v>1187</v>
      </c>
      <c r="B710" t="s">
        <v>363</v>
      </c>
      <c r="C710" t="s">
        <v>195</v>
      </c>
      <c r="D710" s="8">
        <v>46299</v>
      </c>
      <c r="E710" t="s">
        <v>1316</v>
      </c>
      <c r="F710" t="s">
        <v>27</v>
      </c>
      <c r="G710" t="s">
        <v>27</v>
      </c>
      <c r="H710" t="s">
        <v>28</v>
      </c>
      <c r="I710" t="s">
        <v>39</v>
      </c>
      <c r="J710" t="s">
        <v>25</v>
      </c>
      <c r="K710">
        <v>6</v>
      </c>
      <c r="L710">
        <v>270924</v>
      </c>
      <c r="M710">
        <v>25000</v>
      </c>
      <c r="N710" t="s">
        <v>137</v>
      </c>
      <c r="P710" t="s">
        <v>156</v>
      </c>
      <c r="Q710" t="s">
        <v>1321</v>
      </c>
    </row>
    <row r="711" spans="1:17" x14ac:dyDescent="0.25">
      <c r="A711" t="s">
        <v>1188</v>
      </c>
      <c r="B711" t="s">
        <v>1002</v>
      </c>
      <c r="C711" t="s">
        <v>306</v>
      </c>
      <c r="D711" s="8">
        <v>46089</v>
      </c>
      <c r="E711" t="s">
        <v>115</v>
      </c>
      <c r="F711" t="s">
        <v>31</v>
      </c>
      <c r="G711" t="s">
        <v>31</v>
      </c>
      <c r="H711" t="s">
        <v>160</v>
      </c>
      <c r="I711" t="s">
        <v>169</v>
      </c>
      <c r="J711" t="s">
        <v>25</v>
      </c>
      <c r="K711">
        <v>4</v>
      </c>
      <c r="L711">
        <v>2436860</v>
      </c>
      <c r="M711">
        <v>15000</v>
      </c>
      <c r="N711" t="s">
        <v>137</v>
      </c>
      <c r="O711" t="s">
        <v>161</v>
      </c>
      <c r="P711" t="s">
        <v>156</v>
      </c>
      <c r="Q711" t="s">
        <v>21</v>
      </c>
    </row>
    <row r="712" spans="1:17" x14ac:dyDescent="0.25">
      <c r="A712" t="s">
        <v>1189</v>
      </c>
      <c r="B712" t="s">
        <v>718</v>
      </c>
      <c r="C712" t="s">
        <v>155</v>
      </c>
      <c r="D712" s="8">
        <v>46055</v>
      </c>
      <c r="E712" t="s">
        <v>114</v>
      </c>
      <c r="F712" t="s">
        <v>27</v>
      </c>
      <c r="G712" t="s">
        <v>27</v>
      </c>
      <c r="H712" t="s">
        <v>143</v>
      </c>
      <c r="I712" t="s">
        <v>173</v>
      </c>
      <c r="J712" t="s">
        <v>20</v>
      </c>
      <c r="K712">
        <v>1</v>
      </c>
      <c r="L712">
        <v>568998</v>
      </c>
      <c r="M712">
        <v>15000</v>
      </c>
      <c r="N712" t="s">
        <v>137</v>
      </c>
      <c r="O712" t="s">
        <v>199</v>
      </c>
      <c r="P712" t="s">
        <v>156</v>
      </c>
      <c r="Q712" t="s">
        <v>21</v>
      </c>
    </row>
    <row r="713" spans="1:17" x14ac:dyDescent="0.25">
      <c r="A713" t="s">
        <v>1190</v>
      </c>
      <c r="B713" t="s">
        <v>267</v>
      </c>
      <c r="C713" t="s">
        <v>281</v>
      </c>
      <c r="D713" s="8">
        <v>46026</v>
      </c>
      <c r="E713" t="s">
        <v>116</v>
      </c>
      <c r="F713" t="s">
        <v>31</v>
      </c>
      <c r="G713" t="s">
        <v>31</v>
      </c>
      <c r="H713" t="s">
        <v>1315</v>
      </c>
      <c r="I713" t="s">
        <v>169</v>
      </c>
      <c r="J713" t="s">
        <v>20</v>
      </c>
      <c r="K713">
        <v>1</v>
      </c>
      <c r="L713">
        <v>1550823</v>
      </c>
      <c r="M713">
        <v>50000</v>
      </c>
      <c r="N713" t="s">
        <v>137</v>
      </c>
      <c r="O713" t="s">
        <v>390</v>
      </c>
      <c r="P713" t="s">
        <v>156</v>
      </c>
      <c r="Q713" t="s">
        <v>21</v>
      </c>
    </row>
    <row r="714" spans="1:17" x14ac:dyDescent="0.25">
      <c r="A714" t="s">
        <v>1191</v>
      </c>
      <c r="B714" t="s">
        <v>525</v>
      </c>
      <c r="C714" t="s">
        <v>526</v>
      </c>
      <c r="D714" s="8">
        <v>46203</v>
      </c>
      <c r="E714" t="s">
        <v>113</v>
      </c>
      <c r="F714" t="s">
        <v>23</v>
      </c>
      <c r="G714" t="s">
        <v>23</v>
      </c>
      <c r="H714" t="s">
        <v>160</v>
      </c>
      <c r="I714" t="s">
        <v>39</v>
      </c>
      <c r="J714" t="s">
        <v>29</v>
      </c>
      <c r="K714">
        <v>6</v>
      </c>
      <c r="L714">
        <v>701812</v>
      </c>
      <c r="M714">
        <v>15000</v>
      </c>
      <c r="N714" t="s">
        <v>43</v>
      </c>
      <c r="O714" t="s">
        <v>161</v>
      </c>
      <c r="P714" t="s">
        <v>156</v>
      </c>
      <c r="Q714" t="s">
        <v>38</v>
      </c>
    </row>
    <row r="715" spans="1:17" x14ac:dyDescent="0.25">
      <c r="A715" t="s">
        <v>1192</v>
      </c>
      <c r="B715" t="s">
        <v>1193</v>
      </c>
      <c r="C715" t="s">
        <v>172</v>
      </c>
      <c r="D715" s="8">
        <v>46043</v>
      </c>
      <c r="E715" t="s">
        <v>116</v>
      </c>
      <c r="F715" t="s">
        <v>18</v>
      </c>
      <c r="G715" t="s">
        <v>18</v>
      </c>
      <c r="H715" t="s">
        <v>28</v>
      </c>
      <c r="I715" t="s">
        <v>147</v>
      </c>
      <c r="J715" t="s">
        <v>29</v>
      </c>
      <c r="K715">
        <v>6</v>
      </c>
      <c r="L715">
        <v>1742780</v>
      </c>
      <c r="M715">
        <v>25000</v>
      </c>
      <c r="N715" t="s">
        <v>137</v>
      </c>
      <c r="O715" t="s">
        <v>138</v>
      </c>
      <c r="P715" t="s">
        <v>139</v>
      </c>
      <c r="Q715" t="s">
        <v>21</v>
      </c>
    </row>
    <row r="716" spans="1:17" x14ac:dyDescent="0.25">
      <c r="A716" t="s">
        <v>1194</v>
      </c>
      <c r="B716" t="s">
        <v>311</v>
      </c>
      <c r="C716" t="s">
        <v>272</v>
      </c>
      <c r="D716" s="8">
        <v>46196</v>
      </c>
      <c r="E716" t="s">
        <v>113</v>
      </c>
      <c r="F716" t="s">
        <v>18</v>
      </c>
      <c r="G716" t="s">
        <v>18</v>
      </c>
      <c r="H716" t="s">
        <v>1315</v>
      </c>
      <c r="I716" t="s">
        <v>177</v>
      </c>
      <c r="J716" t="s">
        <v>35</v>
      </c>
      <c r="K716">
        <v>2</v>
      </c>
      <c r="L716">
        <v>376969</v>
      </c>
      <c r="M716">
        <v>35000</v>
      </c>
      <c r="N716" t="s">
        <v>137</v>
      </c>
      <c r="O716" t="s">
        <v>161</v>
      </c>
      <c r="P716" t="s">
        <v>156</v>
      </c>
      <c r="Q716" t="s">
        <v>45</v>
      </c>
    </row>
    <row r="717" spans="1:17" x14ac:dyDescent="0.25">
      <c r="A717" t="s">
        <v>1195</v>
      </c>
      <c r="B717" t="s">
        <v>448</v>
      </c>
      <c r="C717" t="s">
        <v>449</v>
      </c>
      <c r="D717" s="8">
        <v>46054</v>
      </c>
      <c r="E717" t="s">
        <v>114</v>
      </c>
      <c r="F717" t="s">
        <v>31</v>
      </c>
      <c r="G717" t="s">
        <v>31</v>
      </c>
      <c r="H717" t="s">
        <v>1315</v>
      </c>
      <c r="I717" t="s">
        <v>147</v>
      </c>
      <c r="J717" t="s">
        <v>32</v>
      </c>
      <c r="K717">
        <v>2</v>
      </c>
      <c r="L717">
        <v>437843</v>
      </c>
      <c r="M717">
        <v>15000</v>
      </c>
      <c r="N717" t="s">
        <v>417</v>
      </c>
      <c r="O717" t="s">
        <v>138</v>
      </c>
      <c r="P717" t="s">
        <v>139</v>
      </c>
      <c r="Q717" t="s">
        <v>21</v>
      </c>
    </row>
    <row r="718" spans="1:17" x14ac:dyDescent="0.25">
      <c r="A718" t="s">
        <v>1196</v>
      </c>
      <c r="B718" t="s">
        <v>248</v>
      </c>
      <c r="C718" t="s">
        <v>226</v>
      </c>
      <c r="D718" s="8">
        <v>46132</v>
      </c>
      <c r="E718" t="s">
        <v>117</v>
      </c>
      <c r="F718" t="s">
        <v>34</v>
      </c>
      <c r="G718" t="s">
        <v>34</v>
      </c>
      <c r="H718" t="s">
        <v>1315</v>
      </c>
      <c r="I718" t="s">
        <v>177</v>
      </c>
      <c r="J718" t="s">
        <v>20</v>
      </c>
      <c r="K718">
        <v>6</v>
      </c>
      <c r="L718">
        <v>1172559</v>
      </c>
      <c r="M718">
        <v>25000</v>
      </c>
      <c r="N718" t="s">
        <v>262</v>
      </c>
      <c r="O718" t="s">
        <v>161</v>
      </c>
      <c r="P718" t="s">
        <v>156</v>
      </c>
      <c r="Q718" t="s">
        <v>21</v>
      </c>
    </row>
    <row r="719" spans="1:17" x14ac:dyDescent="0.25">
      <c r="A719" t="s">
        <v>1197</v>
      </c>
      <c r="B719" t="s">
        <v>844</v>
      </c>
      <c r="C719" t="s">
        <v>246</v>
      </c>
      <c r="D719" s="8">
        <v>46149</v>
      </c>
      <c r="E719" t="s">
        <v>26</v>
      </c>
      <c r="F719" t="s">
        <v>31</v>
      </c>
      <c r="G719" t="s">
        <v>31</v>
      </c>
      <c r="H719" t="s">
        <v>160</v>
      </c>
      <c r="I719" t="s">
        <v>169</v>
      </c>
      <c r="J719" t="s">
        <v>20</v>
      </c>
      <c r="K719">
        <v>5</v>
      </c>
      <c r="L719">
        <v>1563776</v>
      </c>
      <c r="M719">
        <v>0</v>
      </c>
      <c r="N719" t="s">
        <v>137</v>
      </c>
      <c r="O719" t="s">
        <v>138</v>
      </c>
      <c r="P719" t="s">
        <v>139</v>
      </c>
      <c r="Q719" t="s">
        <v>1318</v>
      </c>
    </row>
    <row r="720" spans="1:17" x14ac:dyDescent="0.25">
      <c r="A720" t="s">
        <v>1198</v>
      </c>
      <c r="B720" t="s">
        <v>305</v>
      </c>
      <c r="C720" t="s">
        <v>306</v>
      </c>
      <c r="D720" s="8">
        <v>46115</v>
      </c>
      <c r="E720" t="s">
        <v>117</v>
      </c>
      <c r="F720" t="s">
        <v>34</v>
      </c>
      <c r="G720" t="s">
        <v>34</v>
      </c>
      <c r="H720" t="s">
        <v>28</v>
      </c>
      <c r="I720" t="s">
        <v>136</v>
      </c>
      <c r="J720" t="s">
        <v>32</v>
      </c>
      <c r="K720">
        <v>3</v>
      </c>
      <c r="L720">
        <v>396315</v>
      </c>
      <c r="M720">
        <v>50000</v>
      </c>
      <c r="N720" t="s">
        <v>137</v>
      </c>
      <c r="O720" t="s">
        <v>161</v>
      </c>
      <c r="P720" t="s">
        <v>139</v>
      </c>
      <c r="Q720" t="s">
        <v>21</v>
      </c>
    </row>
    <row r="721" spans="1:17" x14ac:dyDescent="0.25">
      <c r="A721" t="s">
        <v>1199</v>
      </c>
      <c r="B721" t="s">
        <v>1032</v>
      </c>
      <c r="C721" t="s">
        <v>441</v>
      </c>
      <c r="D721" s="8">
        <v>46148</v>
      </c>
      <c r="E721" t="s">
        <v>26</v>
      </c>
      <c r="F721" t="s">
        <v>23</v>
      </c>
      <c r="G721" t="s">
        <v>23</v>
      </c>
      <c r="H721" t="s">
        <v>1315</v>
      </c>
      <c r="I721" t="s">
        <v>39</v>
      </c>
      <c r="J721" t="s">
        <v>32</v>
      </c>
      <c r="K721">
        <v>6</v>
      </c>
      <c r="L721">
        <v>1434808</v>
      </c>
      <c r="M721">
        <v>50000</v>
      </c>
      <c r="N721" t="s">
        <v>137</v>
      </c>
      <c r="O721" t="s">
        <v>138</v>
      </c>
      <c r="P721" t="s">
        <v>139</v>
      </c>
      <c r="Q721" t="s">
        <v>21</v>
      </c>
    </row>
    <row r="722" spans="1:17" x14ac:dyDescent="0.25">
      <c r="A722" t="s">
        <v>1200</v>
      </c>
      <c r="B722" t="s">
        <v>650</v>
      </c>
      <c r="C722" t="s">
        <v>435</v>
      </c>
      <c r="D722" s="8">
        <v>46126</v>
      </c>
      <c r="E722" t="s">
        <v>117</v>
      </c>
      <c r="F722" t="s">
        <v>31</v>
      </c>
      <c r="G722" t="s">
        <v>31</v>
      </c>
      <c r="H722" t="s">
        <v>28</v>
      </c>
      <c r="I722" t="s">
        <v>173</v>
      </c>
      <c r="J722" t="s">
        <v>29</v>
      </c>
      <c r="K722">
        <v>4</v>
      </c>
      <c r="L722">
        <v>2064579</v>
      </c>
      <c r="M722">
        <v>35000</v>
      </c>
      <c r="N722" t="s">
        <v>137</v>
      </c>
      <c r="O722" t="s">
        <v>138</v>
      </c>
      <c r="P722" t="s">
        <v>139</v>
      </c>
      <c r="Q722" t="s">
        <v>21</v>
      </c>
    </row>
    <row r="723" spans="1:17" x14ac:dyDescent="0.25">
      <c r="A723" t="s">
        <v>1201</v>
      </c>
      <c r="B723" t="s">
        <v>363</v>
      </c>
      <c r="C723" t="s">
        <v>195</v>
      </c>
      <c r="D723" s="8">
        <v>46184</v>
      </c>
      <c r="E723" t="s">
        <v>113</v>
      </c>
      <c r="F723" t="s">
        <v>18</v>
      </c>
      <c r="G723" t="s">
        <v>18</v>
      </c>
      <c r="H723" t="s">
        <v>143</v>
      </c>
      <c r="I723" t="s">
        <v>147</v>
      </c>
      <c r="J723" t="s">
        <v>29</v>
      </c>
      <c r="K723">
        <v>3</v>
      </c>
      <c r="L723">
        <v>746561</v>
      </c>
      <c r="M723">
        <v>35000</v>
      </c>
      <c r="N723" t="s">
        <v>137</v>
      </c>
      <c r="O723" t="s">
        <v>165</v>
      </c>
      <c r="P723" t="s">
        <v>156</v>
      </c>
      <c r="Q723" t="s">
        <v>21</v>
      </c>
    </row>
    <row r="724" spans="1:17" x14ac:dyDescent="0.25">
      <c r="A724" t="s">
        <v>1202</v>
      </c>
      <c r="B724" t="s">
        <v>951</v>
      </c>
      <c r="C724" t="s">
        <v>762</v>
      </c>
      <c r="D724" s="8">
        <v>46027</v>
      </c>
      <c r="E724" t="s">
        <v>116</v>
      </c>
      <c r="F724" t="s">
        <v>31</v>
      </c>
      <c r="G724" t="s">
        <v>31</v>
      </c>
      <c r="H724" t="s">
        <v>28</v>
      </c>
      <c r="I724" t="s">
        <v>177</v>
      </c>
      <c r="J724" t="s">
        <v>25</v>
      </c>
      <c r="K724">
        <v>2</v>
      </c>
      <c r="L724">
        <v>1761196</v>
      </c>
      <c r="M724">
        <v>35000</v>
      </c>
      <c r="N724" t="s">
        <v>137</v>
      </c>
      <c r="O724" t="s">
        <v>161</v>
      </c>
      <c r="P724" t="s">
        <v>139</v>
      </c>
      <c r="Q724" t="s">
        <v>21</v>
      </c>
    </row>
    <row r="725" spans="1:17" x14ac:dyDescent="0.25">
      <c r="A725" t="s">
        <v>1203</v>
      </c>
      <c r="B725" t="s">
        <v>720</v>
      </c>
      <c r="C725" t="s">
        <v>33</v>
      </c>
      <c r="D725" s="8">
        <v>46071</v>
      </c>
      <c r="E725" t="s">
        <v>114</v>
      </c>
      <c r="F725" t="s">
        <v>18</v>
      </c>
      <c r="G725" t="s">
        <v>18</v>
      </c>
      <c r="H725" t="s">
        <v>28</v>
      </c>
      <c r="I725" t="s">
        <v>169</v>
      </c>
      <c r="J725" t="s">
        <v>20</v>
      </c>
      <c r="K725">
        <v>6</v>
      </c>
      <c r="L725">
        <v>2160674</v>
      </c>
      <c r="M725">
        <v>50000</v>
      </c>
      <c r="N725" t="s">
        <v>137</v>
      </c>
      <c r="O725" t="s">
        <v>138</v>
      </c>
      <c r="P725" t="s">
        <v>139</v>
      </c>
      <c r="Q725" t="s">
        <v>21</v>
      </c>
    </row>
    <row r="726" spans="1:17" x14ac:dyDescent="0.25">
      <c r="A726" t="s">
        <v>1204</v>
      </c>
      <c r="B726" t="s">
        <v>910</v>
      </c>
      <c r="C726" t="s">
        <v>911</v>
      </c>
      <c r="D726" s="8">
        <v>46040</v>
      </c>
      <c r="E726" t="s">
        <v>116</v>
      </c>
      <c r="F726" t="s">
        <v>31</v>
      </c>
      <c r="G726" t="s">
        <v>31</v>
      </c>
      <c r="H726" t="s">
        <v>143</v>
      </c>
      <c r="I726" t="s">
        <v>39</v>
      </c>
      <c r="J726" t="s">
        <v>32</v>
      </c>
      <c r="K726">
        <v>5</v>
      </c>
      <c r="L726">
        <v>1475945</v>
      </c>
      <c r="M726">
        <v>35000</v>
      </c>
      <c r="N726" t="s">
        <v>137</v>
      </c>
      <c r="O726" t="s">
        <v>161</v>
      </c>
      <c r="P726" t="s">
        <v>156</v>
      </c>
      <c r="Q726" t="s">
        <v>21</v>
      </c>
    </row>
    <row r="727" spans="1:17" x14ac:dyDescent="0.25">
      <c r="A727" t="s">
        <v>1205</v>
      </c>
      <c r="B727" t="s">
        <v>1206</v>
      </c>
      <c r="C727" t="s">
        <v>495</v>
      </c>
      <c r="D727" s="8">
        <v>46184</v>
      </c>
      <c r="E727" t="s">
        <v>113</v>
      </c>
      <c r="F727" t="s">
        <v>27</v>
      </c>
      <c r="G727" t="s">
        <v>27</v>
      </c>
      <c r="H727" t="s">
        <v>160</v>
      </c>
      <c r="I727" t="s">
        <v>147</v>
      </c>
      <c r="J727" t="s">
        <v>29</v>
      </c>
      <c r="K727">
        <v>6</v>
      </c>
      <c r="L727">
        <v>785226</v>
      </c>
      <c r="M727">
        <v>25000</v>
      </c>
      <c r="N727" t="s">
        <v>137</v>
      </c>
      <c r="O727" t="s">
        <v>138</v>
      </c>
      <c r="P727" t="s">
        <v>139</v>
      </c>
      <c r="Q727" t="s">
        <v>21</v>
      </c>
    </row>
    <row r="728" spans="1:17" x14ac:dyDescent="0.25">
      <c r="A728" t="s">
        <v>1207</v>
      </c>
      <c r="B728" t="s">
        <v>410</v>
      </c>
      <c r="C728" t="s">
        <v>411</v>
      </c>
      <c r="D728" s="8">
        <v>46118</v>
      </c>
      <c r="E728" t="s">
        <v>117</v>
      </c>
      <c r="F728" t="s">
        <v>31</v>
      </c>
      <c r="G728" t="s">
        <v>31</v>
      </c>
      <c r="H728" t="s">
        <v>143</v>
      </c>
      <c r="I728" t="s">
        <v>177</v>
      </c>
      <c r="J728" t="s">
        <v>25</v>
      </c>
      <c r="K728">
        <v>5</v>
      </c>
      <c r="L728">
        <v>657430</v>
      </c>
      <c r="M728">
        <v>25000</v>
      </c>
      <c r="N728" t="s">
        <v>37</v>
      </c>
      <c r="O728" t="s">
        <v>165</v>
      </c>
      <c r="P728" t="s">
        <v>156</v>
      </c>
      <c r="Q728" t="s">
        <v>21</v>
      </c>
    </row>
    <row r="729" spans="1:17" x14ac:dyDescent="0.25">
      <c r="A729" t="s">
        <v>1208</v>
      </c>
      <c r="B729" t="s">
        <v>1209</v>
      </c>
      <c r="C729" t="s">
        <v>301</v>
      </c>
      <c r="D729" s="8">
        <v>46103</v>
      </c>
      <c r="E729" t="s">
        <v>115</v>
      </c>
      <c r="F729" t="s">
        <v>18</v>
      </c>
      <c r="G729" t="s">
        <v>18</v>
      </c>
      <c r="H729" t="s">
        <v>143</v>
      </c>
      <c r="I729" t="s">
        <v>136</v>
      </c>
      <c r="J729" t="s">
        <v>35</v>
      </c>
      <c r="K729">
        <v>5</v>
      </c>
      <c r="L729">
        <v>2117275</v>
      </c>
      <c r="M729">
        <v>25000</v>
      </c>
      <c r="N729" t="s">
        <v>137</v>
      </c>
      <c r="O729" t="s">
        <v>165</v>
      </c>
      <c r="P729" t="s">
        <v>156</v>
      </c>
      <c r="Q729" t="s">
        <v>21</v>
      </c>
    </row>
    <row r="730" spans="1:17" x14ac:dyDescent="0.25">
      <c r="A730" t="s">
        <v>1210</v>
      </c>
      <c r="B730" t="s">
        <v>743</v>
      </c>
      <c r="C730" t="s">
        <v>164</v>
      </c>
      <c r="D730" s="8">
        <v>46174</v>
      </c>
      <c r="E730" t="s">
        <v>113</v>
      </c>
      <c r="F730" t="s">
        <v>34</v>
      </c>
      <c r="G730" t="s">
        <v>34</v>
      </c>
      <c r="H730" t="s">
        <v>160</v>
      </c>
      <c r="I730" t="s">
        <v>39</v>
      </c>
      <c r="J730" t="s">
        <v>29</v>
      </c>
      <c r="K730">
        <v>4</v>
      </c>
      <c r="L730">
        <v>1114125</v>
      </c>
      <c r="M730">
        <v>15000</v>
      </c>
      <c r="N730" t="s">
        <v>137</v>
      </c>
      <c r="O730" t="s">
        <v>165</v>
      </c>
      <c r="P730" t="s">
        <v>139</v>
      </c>
      <c r="Q730" t="s">
        <v>21</v>
      </c>
    </row>
    <row r="731" spans="1:17" x14ac:dyDescent="0.25">
      <c r="A731" t="s">
        <v>1211</v>
      </c>
      <c r="B731" t="s">
        <v>739</v>
      </c>
      <c r="C731" t="s">
        <v>192</v>
      </c>
      <c r="D731" s="8">
        <v>46158</v>
      </c>
      <c r="E731" t="s">
        <v>26</v>
      </c>
      <c r="F731" t="s">
        <v>34</v>
      </c>
      <c r="G731" t="s">
        <v>34</v>
      </c>
      <c r="H731" t="s">
        <v>160</v>
      </c>
      <c r="I731" t="s">
        <v>39</v>
      </c>
      <c r="J731" t="s">
        <v>32</v>
      </c>
      <c r="K731">
        <v>5</v>
      </c>
      <c r="L731">
        <v>2179153</v>
      </c>
      <c r="M731">
        <v>35000</v>
      </c>
      <c r="N731" t="s">
        <v>43</v>
      </c>
      <c r="O731" t="s">
        <v>149</v>
      </c>
      <c r="P731" t="s">
        <v>156</v>
      </c>
      <c r="Q731" t="s">
        <v>21</v>
      </c>
    </row>
    <row r="732" spans="1:17" x14ac:dyDescent="0.25">
      <c r="A732" t="s">
        <v>1212</v>
      </c>
      <c r="B732" t="s">
        <v>467</v>
      </c>
      <c r="C732" t="s">
        <v>198</v>
      </c>
      <c r="D732" s="8">
        <v>46093</v>
      </c>
      <c r="E732" t="s">
        <v>115</v>
      </c>
      <c r="F732" t="s">
        <v>18</v>
      </c>
      <c r="G732" t="s">
        <v>18</v>
      </c>
      <c r="H732" t="s">
        <v>160</v>
      </c>
      <c r="I732" t="s">
        <v>136</v>
      </c>
      <c r="J732" t="s">
        <v>25</v>
      </c>
      <c r="K732">
        <v>7</v>
      </c>
      <c r="L732">
        <v>720135</v>
      </c>
      <c r="M732">
        <v>25000</v>
      </c>
      <c r="N732" t="s">
        <v>137</v>
      </c>
      <c r="O732" t="s">
        <v>138</v>
      </c>
      <c r="P732" t="s">
        <v>139</v>
      </c>
      <c r="Q732" t="s">
        <v>21</v>
      </c>
    </row>
    <row r="733" spans="1:17" x14ac:dyDescent="0.25">
      <c r="A733" t="s">
        <v>1213</v>
      </c>
      <c r="B733" t="s">
        <v>1132</v>
      </c>
      <c r="C733" t="s">
        <v>287</v>
      </c>
      <c r="D733" s="8">
        <v>46060</v>
      </c>
      <c r="E733" t="s">
        <v>114</v>
      </c>
      <c r="F733" t="s">
        <v>18</v>
      </c>
      <c r="G733" t="s">
        <v>18</v>
      </c>
      <c r="H733" t="s">
        <v>160</v>
      </c>
      <c r="I733" t="s">
        <v>136</v>
      </c>
      <c r="J733" t="s">
        <v>20</v>
      </c>
      <c r="K733">
        <v>4</v>
      </c>
      <c r="L733">
        <v>1264028</v>
      </c>
      <c r="M733">
        <v>25000</v>
      </c>
      <c r="N733" t="s">
        <v>37</v>
      </c>
      <c r="O733" t="s">
        <v>165</v>
      </c>
      <c r="P733" t="s">
        <v>156</v>
      </c>
      <c r="Q733" t="s">
        <v>21</v>
      </c>
    </row>
    <row r="734" spans="1:17" x14ac:dyDescent="0.25">
      <c r="A734" t="s">
        <v>1214</v>
      </c>
      <c r="B734" t="s">
        <v>731</v>
      </c>
      <c r="C734" t="s">
        <v>287</v>
      </c>
      <c r="D734" s="8">
        <v>46152</v>
      </c>
      <c r="E734" t="s">
        <v>26</v>
      </c>
      <c r="F734" t="s">
        <v>23</v>
      </c>
      <c r="G734" t="s">
        <v>23</v>
      </c>
      <c r="H734" t="s">
        <v>1315</v>
      </c>
      <c r="I734" t="s">
        <v>136</v>
      </c>
      <c r="J734" t="s">
        <v>29</v>
      </c>
      <c r="K734">
        <v>7</v>
      </c>
      <c r="L734">
        <v>1304707</v>
      </c>
      <c r="M734">
        <v>15000</v>
      </c>
      <c r="N734" t="s">
        <v>137</v>
      </c>
      <c r="O734" t="s">
        <v>138</v>
      </c>
      <c r="P734" t="s">
        <v>156</v>
      </c>
      <c r="Q734" t="s">
        <v>21</v>
      </c>
    </row>
    <row r="735" spans="1:17" x14ac:dyDescent="0.25">
      <c r="A735" t="s">
        <v>1215</v>
      </c>
      <c r="B735" t="s">
        <v>403</v>
      </c>
      <c r="C735" t="s">
        <v>404</v>
      </c>
      <c r="D735" s="8">
        <v>46029</v>
      </c>
      <c r="E735" t="s">
        <v>116</v>
      </c>
      <c r="F735" t="s">
        <v>18</v>
      </c>
      <c r="G735" t="s">
        <v>18</v>
      </c>
      <c r="H735" t="s">
        <v>28</v>
      </c>
      <c r="I735" t="s">
        <v>169</v>
      </c>
      <c r="J735" t="s">
        <v>32</v>
      </c>
      <c r="K735">
        <v>1</v>
      </c>
      <c r="L735">
        <v>240885</v>
      </c>
      <c r="M735">
        <v>35000</v>
      </c>
      <c r="N735" t="s">
        <v>137</v>
      </c>
      <c r="O735" t="s">
        <v>165</v>
      </c>
      <c r="P735" t="s">
        <v>156</v>
      </c>
      <c r="Q735" t="s">
        <v>21</v>
      </c>
    </row>
    <row r="736" spans="1:17" x14ac:dyDescent="0.25">
      <c r="A736" t="s">
        <v>1216</v>
      </c>
      <c r="B736" t="s">
        <v>1217</v>
      </c>
      <c r="C736" t="s">
        <v>441</v>
      </c>
      <c r="D736" s="8">
        <v>46136</v>
      </c>
      <c r="E736" t="s">
        <v>117</v>
      </c>
      <c r="F736" t="s">
        <v>27</v>
      </c>
      <c r="G736" t="s">
        <v>27</v>
      </c>
      <c r="H736" t="s">
        <v>28</v>
      </c>
      <c r="I736" t="s">
        <v>136</v>
      </c>
      <c r="J736" t="s">
        <v>29</v>
      </c>
      <c r="K736">
        <v>3</v>
      </c>
      <c r="M736">
        <v>0</v>
      </c>
      <c r="N736" t="s">
        <v>137</v>
      </c>
      <c r="O736" t="s">
        <v>161</v>
      </c>
      <c r="P736" t="s">
        <v>156</v>
      </c>
      <c r="Q736" t="s">
        <v>1324</v>
      </c>
    </row>
    <row r="737" spans="1:17" x14ac:dyDescent="0.25">
      <c r="A737" t="s">
        <v>1218</v>
      </c>
      <c r="B737" t="s">
        <v>770</v>
      </c>
      <c r="C737" t="s">
        <v>246</v>
      </c>
      <c r="D737" s="8">
        <v>46027</v>
      </c>
      <c r="E737" t="s">
        <v>116</v>
      </c>
      <c r="F737" t="s">
        <v>18</v>
      </c>
      <c r="G737" t="s">
        <v>18</v>
      </c>
      <c r="H737" t="s">
        <v>1315</v>
      </c>
      <c r="I737" t="s">
        <v>169</v>
      </c>
      <c r="J737" t="s">
        <v>32</v>
      </c>
      <c r="K737">
        <v>7</v>
      </c>
      <c r="L737" t="s">
        <v>1219</v>
      </c>
      <c r="M737">
        <v>0</v>
      </c>
      <c r="N737" t="s">
        <v>137</v>
      </c>
      <c r="O737" t="s">
        <v>138</v>
      </c>
      <c r="P737" t="s">
        <v>156</v>
      </c>
      <c r="Q737" t="s">
        <v>1318</v>
      </c>
    </row>
    <row r="738" spans="1:17" x14ac:dyDescent="0.25">
      <c r="A738" t="s">
        <v>1220</v>
      </c>
      <c r="B738" t="s">
        <v>962</v>
      </c>
      <c r="C738" t="s">
        <v>17</v>
      </c>
      <c r="D738" s="8">
        <v>46134</v>
      </c>
      <c r="E738" t="s">
        <v>117</v>
      </c>
      <c r="F738" t="s">
        <v>23</v>
      </c>
      <c r="G738" t="s">
        <v>23</v>
      </c>
      <c r="H738" t="s">
        <v>1315</v>
      </c>
      <c r="I738" t="s">
        <v>136</v>
      </c>
      <c r="J738" t="s">
        <v>35</v>
      </c>
      <c r="K738">
        <v>2</v>
      </c>
      <c r="L738">
        <v>1478468</v>
      </c>
      <c r="M738">
        <v>35000</v>
      </c>
      <c r="N738" t="s">
        <v>137</v>
      </c>
      <c r="O738" t="s">
        <v>165</v>
      </c>
      <c r="P738" t="s">
        <v>156</v>
      </c>
      <c r="Q738" t="s">
        <v>21</v>
      </c>
    </row>
    <row r="739" spans="1:17" x14ac:dyDescent="0.25">
      <c r="A739" t="s">
        <v>1221</v>
      </c>
      <c r="B739" t="s">
        <v>492</v>
      </c>
      <c r="C739" t="s">
        <v>146</v>
      </c>
      <c r="D739" s="8">
        <v>46153</v>
      </c>
      <c r="E739" t="s">
        <v>26</v>
      </c>
      <c r="F739" t="s">
        <v>18</v>
      </c>
      <c r="G739" t="s">
        <v>18</v>
      </c>
      <c r="H739" t="s">
        <v>160</v>
      </c>
      <c r="I739" t="s">
        <v>147</v>
      </c>
      <c r="J739" t="s">
        <v>29</v>
      </c>
      <c r="K739">
        <v>4</v>
      </c>
      <c r="L739">
        <v>354290</v>
      </c>
      <c r="M739">
        <v>15000</v>
      </c>
      <c r="N739" t="s">
        <v>137</v>
      </c>
      <c r="O739" t="s">
        <v>161</v>
      </c>
      <c r="P739" t="s">
        <v>156</v>
      </c>
      <c r="Q739" t="s">
        <v>21</v>
      </c>
    </row>
    <row r="740" spans="1:17" x14ac:dyDescent="0.25">
      <c r="A740" t="s">
        <v>1222</v>
      </c>
      <c r="B740" t="s">
        <v>693</v>
      </c>
      <c r="C740" t="s">
        <v>164</v>
      </c>
      <c r="D740" s="8">
        <v>46115</v>
      </c>
      <c r="E740" t="s">
        <v>117</v>
      </c>
      <c r="F740" t="s">
        <v>31</v>
      </c>
      <c r="G740" t="s">
        <v>31</v>
      </c>
      <c r="H740" t="s">
        <v>28</v>
      </c>
      <c r="I740" t="s">
        <v>147</v>
      </c>
      <c r="J740" t="s">
        <v>20</v>
      </c>
      <c r="K740">
        <v>1</v>
      </c>
      <c r="L740">
        <v>1617706</v>
      </c>
      <c r="M740">
        <v>25000</v>
      </c>
      <c r="N740" t="s">
        <v>137</v>
      </c>
      <c r="O740" t="s">
        <v>138</v>
      </c>
      <c r="P740" t="s">
        <v>139</v>
      </c>
      <c r="Q740" t="s">
        <v>21</v>
      </c>
    </row>
    <row r="741" spans="1:17" x14ac:dyDescent="0.25">
      <c r="A741" t="s">
        <v>1223</v>
      </c>
      <c r="B741" t="s">
        <v>708</v>
      </c>
      <c r="C741" t="s">
        <v>220</v>
      </c>
      <c r="D741" s="8">
        <v>46124</v>
      </c>
      <c r="E741" t="s">
        <v>117</v>
      </c>
      <c r="F741" t="s">
        <v>18</v>
      </c>
      <c r="G741" t="s">
        <v>18</v>
      </c>
      <c r="H741" t="s">
        <v>160</v>
      </c>
      <c r="I741" t="s">
        <v>136</v>
      </c>
      <c r="J741" t="s">
        <v>29</v>
      </c>
      <c r="K741">
        <v>7</v>
      </c>
      <c r="L741">
        <v>770050</v>
      </c>
      <c r="M741">
        <v>50000</v>
      </c>
      <c r="N741" t="s">
        <v>137</v>
      </c>
      <c r="O741" t="s">
        <v>161</v>
      </c>
      <c r="P741" t="s">
        <v>156</v>
      </c>
      <c r="Q741" t="s">
        <v>21</v>
      </c>
    </row>
    <row r="742" spans="1:17" x14ac:dyDescent="0.25">
      <c r="A742" t="s">
        <v>1224</v>
      </c>
      <c r="B742" t="s">
        <v>525</v>
      </c>
      <c r="C742" t="s">
        <v>526</v>
      </c>
      <c r="D742" s="8">
        <v>46188</v>
      </c>
      <c r="E742" t="s">
        <v>113</v>
      </c>
      <c r="F742" t="s">
        <v>31</v>
      </c>
      <c r="G742" t="s">
        <v>31</v>
      </c>
      <c r="H742" t="s">
        <v>160</v>
      </c>
      <c r="I742" t="s">
        <v>173</v>
      </c>
      <c r="J742" t="s">
        <v>29</v>
      </c>
      <c r="K742">
        <v>1</v>
      </c>
      <c r="L742">
        <v>2459098</v>
      </c>
      <c r="M742">
        <v>0</v>
      </c>
      <c r="N742" t="s">
        <v>137</v>
      </c>
      <c r="O742" t="s">
        <v>138</v>
      </c>
      <c r="P742" t="s">
        <v>156</v>
      </c>
      <c r="Q742" t="s">
        <v>1318</v>
      </c>
    </row>
    <row r="743" spans="1:17" x14ac:dyDescent="0.25">
      <c r="A743" t="s">
        <v>1225</v>
      </c>
      <c r="B743" t="s">
        <v>681</v>
      </c>
      <c r="C743" t="s">
        <v>317</v>
      </c>
      <c r="D743" s="8">
        <v>46058</v>
      </c>
      <c r="E743" t="s">
        <v>114</v>
      </c>
      <c r="F743" t="s">
        <v>31</v>
      </c>
      <c r="G743" t="s">
        <v>31</v>
      </c>
      <c r="H743" t="s">
        <v>160</v>
      </c>
      <c r="I743" t="s">
        <v>147</v>
      </c>
      <c r="J743" t="s">
        <v>25</v>
      </c>
      <c r="K743">
        <v>3</v>
      </c>
      <c r="L743">
        <v>2219600</v>
      </c>
      <c r="M743">
        <v>25000</v>
      </c>
      <c r="N743" t="s">
        <v>137</v>
      </c>
      <c r="O743" t="s">
        <v>138</v>
      </c>
      <c r="P743" t="s">
        <v>139</v>
      </c>
      <c r="Q743" t="s">
        <v>21</v>
      </c>
    </row>
    <row r="744" spans="1:17" x14ac:dyDescent="0.25">
      <c r="A744" t="s">
        <v>1226</v>
      </c>
      <c r="B744" t="s">
        <v>1227</v>
      </c>
      <c r="C744" t="s">
        <v>495</v>
      </c>
      <c r="D744" s="8">
        <v>46194</v>
      </c>
      <c r="E744" t="s">
        <v>113</v>
      </c>
      <c r="F744" t="s">
        <v>118</v>
      </c>
      <c r="G744" t="s">
        <v>18</v>
      </c>
      <c r="H744" t="s">
        <v>143</v>
      </c>
      <c r="I744" t="s">
        <v>147</v>
      </c>
      <c r="J744" t="s">
        <v>32</v>
      </c>
      <c r="K744">
        <v>1</v>
      </c>
      <c r="L744">
        <v>1860379</v>
      </c>
      <c r="M744">
        <v>50000</v>
      </c>
      <c r="N744" t="s">
        <v>137</v>
      </c>
      <c r="O744" t="s">
        <v>138</v>
      </c>
      <c r="P744" t="s">
        <v>156</v>
      </c>
      <c r="Q744" t="s">
        <v>21</v>
      </c>
    </row>
    <row r="745" spans="1:17" x14ac:dyDescent="0.25">
      <c r="A745" t="s">
        <v>1228</v>
      </c>
      <c r="B745" t="s">
        <v>866</v>
      </c>
      <c r="C745" t="s">
        <v>176</v>
      </c>
      <c r="D745" s="8">
        <v>46202</v>
      </c>
      <c r="E745" t="s">
        <v>113</v>
      </c>
      <c r="F745" t="s">
        <v>31</v>
      </c>
      <c r="G745" t="s">
        <v>31</v>
      </c>
      <c r="H745" t="s">
        <v>143</v>
      </c>
      <c r="I745" t="s">
        <v>177</v>
      </c>
      <c r="J745" t="s">
        <v>35</v>
      </c>
      <c r="K745">
        <v>3</v>
      </c>
      <c r="L745">
        <v>458175</v>
      </c>
      <c r="M745">
        <v>50000</v>
      </c>
      <c r="N745" t="s">
        <v>137</v>
      </c>
      <c r="O745" t="s">
        <v>165</v>
      </c>
      <c r="P745" t="s">
        <v>156</v>
      </c>
      <c r="Q745" t="s">
        <v>21</v>
      </c>
    </row>
    <row r="746" spans="1:17" x14ac:dyDescent="0.25">
      <c r="A746" t="s">
        <v>1229</v>
      </c>
      <c r="B746" t="s">
        <v>725</v>
      </c>
      <c r="C746" t="s">
        <v>726</v>
      </c>
      <c r="D746" s="8">
        <v>46183</v>
      </c>
      <c r="E746" t="s">
        <v>113</v>
      </c>
      <c r="F746" t="s">
        <v>18</v>
      </c>
      <c r="G746" t="s">
        <v>18</v>
      </c>
      <c r="H746" t="s">
        <v>1315</v>
      </c>
      <c r="I746" t="s">
        <v>136</v>
      </c>
      <c r="J746" t="s">
        <v>29</v>
      </c>
      <c r="K746">
        <v>5</v>
      </c>
      <c r="L746">
        <v>1300349</v>
      </c>
      <c r="M746">
        <v>25000</v>
      </c>
      <c r="N746" t="s">
        <v>137</v>
      </c>
      <c r="O746" t="s">
        <v>138</v>
      </c>
      <c r="P746" t="s">
        <v>139</v>
      </c>
      <c r="Q746" t="s">
        <v>21</v>
      </c>
    </row>
    <row r="747" spans="1:17" x14ac:dyDescent="0.25">
      <c r="A747" t="s">
        <v>1230</v>
      </c>
      <c r="B747" t="s">
        <v>194</v>
      </c>
      <c r="C747" t="s">
        <v>195</v>
      </c>
      <c r="D747" s="8">
        <v>46089</v>
      </c>
      <c r="E747" t="s">
        <v>115</v>
      </c>
      <c r="F747" t="s">
        <v>27</v>
      </c>
      <c r="G747" t="s">
        <v>27</v>
      </c>
      <c r="H747" t="s">
        <v>28</v>
      </c>
      <c r="I747" t="s">
        <v>177</v>
      </c>
      <c r="J747" t="s">
        <v>29</v>
      </c>
      <c r="K747">
        <v>6</v>
      </c>
      <c r="L747">
        <v>1766819</v>
      </c>
      <c r="M747">
        <v>0</v>
      </c>
      <c r="N747" t="s">
        <v>137</v>
      </c>
      <c r="O747" t="s">
        <v>161</v>
      </c>
      <c r="P747" t="s">
        <v>156</v>
      </c>
      <c r="Q747" t="s">
        <v>1318</v>
      </c>
    </row>
    <row r="748" spans="1:17" x14ac:dyDescent="0.25">
      <c r="A748" t="s">
        <v>1231</v>
      </c>
      <c r="B748" t="s">
        <v>398</v>
      </c>
      <c r="C748" t="s">
        <v>399</v>
      </c>
      <c r="D748" s="8">
        <v>46122</v>
      </c>
      <c r="E748" t="s">
        <v>117</v>
      </c>
      <c r="F748" t="s">
        <v>34</v>
      </c>
      <c r="G748" t="s">
        <v>34</v>
      </c>
      <c r="H748" t="s">
        <v>143</v>
      </c>
      <c r="I748" t="s">
        <v>147</v>
      </c>
      <c r="J748" t="s">
        <v>25</v>
      </c>
      <c r="K748">
        <v>2</v>
      </c>
      <c r="L748">
        <v>567656</v>
      </c>
      <c r="M748">
        <v>15000</v>
      </c>
      <c r="N748" t="s">
        <v>137</v>
      </c>
      <c r="O748" t="s">
        <v>138</v>
      </c>
      <c r="P748" t="s">
        <v>139</v>
      </c>
      <c r="Q748" t="s">
        <v>21</v>
      </c>
    </row>
    <row r="749" spans="1:17" x14ac:dyDescent="0.25">
      <c r="A749" t="s">
        <v>1232</v>
      </c>
      <c r="B749" t="s">
        <v>571</v>
      </c>
      <c r="C749" t="s">
        <v>441</v>
      </c>
      <c r="D749" s="8">
        <v>25569</v>
      </c>
      <c r="E749" t="s">
        <v>116</v>
      </c>
      <c r="F749" t="s">
        <v>34</v>
      </c>
      <c r="G749" t="s">
        <v>34</v>
      </c>
      <c r="H749" t="s">
        <v>160</v>
      </c>
      <c r="I749" t="s">
        <v>177</v>
      </c>
      <c r="J749" t="s">
        <v>29</v>
      </c>
      <c r="K749">
        <v>7</v>
      </c>
      <c r="L749">
        <v>1083893</v>
      </c>
      <c r="M749">
        <v>50000</v>
      </c>
      <c r="N749" t="s">
        <v>137</v>
      </c>
      <c r="O749" t="s">
        <v>138</v>
      </c>
      <c r="P749" t="s">
        <v>139</v>
      </c>
      <c r="Q749" t="s">
        <v>121</v>
      </c>
    </row>
    <row r="750" spans="1:17" x14ac:dyDescent="0.25">
      <c r="A750" t="s">
        <v>1233</v>
      </c>
      <c r="B750" t="s">
        <v>897</v>
      </c>
      <c r="C750" t="s">
        <v>456</v>
      </c>
      <c r="D750" s="8">
        <v>46150</v>
      </c>
      <c r="E750" t="s">
        <v>26</v>
      </c>
      <c r="F750" t="s">
        <v>31</v>
      </c>
      <c r="G750" t="s">
        <v>31</v>
      </c>
      <c r="H750" t="s">
        <v>28</v>
      </c>
      <c r="I750" t="s">
        <v>147</v>
      </c>
      <c r="J750" t="s">
        <v>35</v>
      </c>
      <c r="K750">
        <v>4</v>
      </c>
      <c r="L750">
        <v>1749787</v>
      </c>
      <c r="M750">
        <v>25000</v>
      </c>
      <c r="N750" t="s">
        <v>37</v>
      </c>
      <c r="O750" t="s">
        <v>138</v>
      </c>
      <c r="P750" t="s">
        <v>139</v>
      </c>
      <c r="Q750" t="s">
        <v>21</v>
      </c>
    </row>
    <row r="751" spans="1:17" x14ac:dyDescent="0.25">
      <c r="A751" t="s">
        <v>1234</v>
      </c>
      <c r="B751" t="s">
        <v>519</v>
      </c>
      <c r="C751" t="s">
        <v>240</v>
      </c>
      <c r="D751" s="8">
        <v>46193</v>
      </c>
      <c r="E751" t="s">
        <v>113</v>
      </c>
      <c r="F751" t="s">
        <v>23</v>
      </c>
      <c r="G751" t="s">
        <v>23</v>
      </c>
      <c r="H751" t="s">
        <v>160</v>
      </c>
      <c r="I751" t="s">
        <v>173</v>
      </c>
      <c r="J751" t="s">
        <v>25</v>
      </c>
      <c r="K751">
        <v>5</v>
      </c>
      <c r="L751">
        <v>1162361</v>
      </c>
      <c r="M751">
        <v>0</v>
      </c>
      <c r="N751" t="s">
        <v>137</v>
      </c>
      <c r="O751" t="s">
        <v>161</v>
      </c>
      <c r="P751" t="s">
        <v>156</v>
      </c>
      <c r="Q751" t="s">
        <v>1318</v>
      </c>
    </row>
    <row r="752" spans="1:17" x14ac:dyDescent="0.25">
      <c r="A752" t="s">
        <v>1235</v>
      </c>
      <c r="B752" t="s">
        <v>370</v>
      </c>
      <c r="C752" t="s">
        <v>180</v>
      </c>
      <c r="D752" s="8">
        <v>46136</v>
      </c>
      <c r="E752" t="s">
        <v>117</v>
      </c>
      <c r="F752" t="s">
        <v>18</v>
      </c>
      <c r="G752" t="s">
        <v>18</v>
      </c>
      <c r="H752" t="s">
        <v>28</v>
      </c>
      <c r="I752" t="s">
        <v>169</v>
      </c>
      <c r="J752" t="s">
        <v>25</v>
      </c>
      <c r="K752">
        <v>2</v>
      </c>
      <c r="L752">
        <v>1719795</v>
      </c>
      <c r="M752">
        <v>50000</v>
      </c>
      <c r="N752" t="s">
        <v>137</v>
      </c>
      <c r="O752" t="s">
        <v>138</v>
      </c>
      <c r="P752" t="s">
        <v>156</v>
      </c>
      <c r="Q752" t="s">
        <v>21</v>
      </c>
    </row>
    <row r="753" spans="1:17" x14ac:dyDescent="0.25">
      <c r="A753" t="s">
        <v>1236</v>
      </c>
      <c r="B753" t="s">
        <v>151</v>
      </c>
      <c r="C753" t="s">
        <v>152</v>
      </c>
      <c r="D753" s="8">
        <v>46129</v>
      </c>
      <c r="E753" t="s">
        <v>117</v>
      </c>
      <c r="F753" t="s">
        <v>18</v>
      </c>
      <c r="G753" t="s">
        <v>18</v>
      </c>
      <c r="H753" t="s">
        <v>1315</v>
      </c>
      <c r="I753" t="s">
        <v>39</v>
      </c>
      <c r="J753" t="s">
        <v>29</v>
      </c>
      <c r="K753">
        <v>7</v>
      </c>
      <c r="L753">
        <v>213929</v>
      </c>
      <c r="M753">
        <v>25000</v>
      </c>
      <c r="N753" t="s">
        <v>137</v>
      </c>
      <c r="O753" t="s">
        <v>161</v>
      </c>
      <c r="P753" t="s">
        <v>156</v>
      </c>
      <c r="Q753" t="s">
        <v>21</v>
      </c>
    </row>
    <row r="754" spans="1:17" x14ac:dyDescent="0.25">
      <c r="A754" t="s">
        <v>1237</v>
      </c>
      <c r="B754" t="s">
        <v>733</v>
      </c>
      <c r="C754" t="s">
        <v>726</v>
      </c>
      <c r="D754" s="8">
        <v>46185</v>
      </c>
      <c r="E754" t="s">
        <v>113</v>
      </c>
      <c r="F754" t="s">
        <v>18</v>
      </c>
      <c r="G754" t="s">
        <v>18</v>
      </c>
      <c r="H754" t="s">
        <v>28</v>
      </c>
      <c r="I754" t="s">
        <v>147</v>
      </c>
      <c r="J754" t="s">
        <v>35</v>
      </c>
      <c r="K754">
        <v>2</v>
      </c>
      <c r="L754">
        <v>247370</v>
      </c>
      <c r="M754">
        <v>35000</v>
      </c>
      <c r="N754" t="s">
        <v>137</v>
      </c>
      <c r="O754" t="s">
        <v>161</v>
      </c>
      <c r="P754" t="s">
        <v>139</v>
      </c>
      <c r="Q754" t="s">
        <v>21</v>
      </c>
    </row>
    <row r="755" spans="1:17" x14ac:dyDescent="0.25">
      <c r="A755" t="s">
        <v>1238</v>
      </c>
      <c r="B755" t="s">
        <v>239</v>
      </c>
      <c r="C755" t="s">
        <v>240</v>
      </c>
      <c r="D755" s="8">
        <v>46028</v>
      </c>
      <c r="E755" t="s">
        <v>116</v>
      </c>
      <c r="F755" t="s">
        <v>23</v>
      </c>
      <c r="G755" t="s">
        <v>23</v>
      </c>
      <c r="H755" t="s">
        <v>28</v>
      </c>
      <c r="I755" t="s">
        <v>169</v>
      </c>
      <c r="J755" t="s">
        <v>32</v>
      </c>
      <c r="K755">
        <v>1</v>
      </c>
      <c r="L755">
        <v>2482360</v>
      </c>
      <c r="M755">
        <v>35000</v>
      </c>
      <c r="N755" t="s">
        <v>137</v>
      </c>
      <c r="O755" t="s">
        <v>199</v>
      </c>
      <c r="P755" t="s">
        <v>156</v>
      </c>
      <c r="Q755" t="s">
        <v>21</v>
      </c>
    </row>
    <row r="756" spans="1:17" x14ac:dyDescent="0.25">
      <c r="A756" t="s">
        <v>1239</v>
      </c>
      <c r="B756" t="s">
        <v>421</v>
      </c>
      <c r="C756" t="s">
        <v>340</v>
      </c>
      <c r="D756" s="8">
        <v>46150</v>
      </c>
      <c r="E756" t="s">
        <v>26</v>
      </c>
      <c r="F756" t="s">
        <v>23</v>
      </c>
      <c r="G756" t="s">
        <v>23</v>
      </c>
      <c r="H756" t="s">
        <v>160</v>
      </c>
      <c r="I756" t="s">
        <v>136</v>
      </c>
      <c r="J756" t="s">
        <v>25</v>
      </c>
      <c r="K756">
        <v>4</v>
      </c>
      <c r="L756">
        <v>1933984</v>
      </c>
      <c r="M756">
        <v>35000</v>
      </c>
      <c r="N756" t="s">
        <v>137</v>
      </c>
      <c r="O756" t="s">
        <v>161</v>
      </c>
      <c r="P756" t="s">
        <v>139</v>
      </c>
      <c r="Q756" t="s">
        <v>21</v>
      </c>
    </row>
    <row r="757" spans="1:17" x14ac:dyDescent="0.25">
      <c r="A757" t="s">
        <v>1240</v>
      </c>
      <c r="B757" t="s">
        <v>316</v>
      </c>
      <c r="C757" t="s">
        <v>317</v>
      </c>
      <c r="D757" s="8">
        <v>46091</v>
      </c>
      <c r="E757" t="s">
        <v>115</v>
      </c>
      <c r="F757" t="s">
        <v>23</v>
      </c>
      <c r="G757" t="s">
        <v>23</v>
      </c>
      <c r="H757" t="s">
        <v>160</v>
      </c>
      <c r="I757" t="s">
        <v>147</v>
      </c>
      <c r="J757" t="s">
        <v>32</v>
      </c>
      <c r="K757">
        <v>7</v>
      </c>
      <c r="L757">
        <v>222395</v>
      </c>
      <c r="M757">
        <v>25000</v>
      </c>
      <c r="N757" t="s">
        <v>137</v>
      </c>
      <c r="O757" t="s">
        <v>138</v>
      </c>
      <c r="P757" t="s">
        <v>139</v>
      </c>
      <c r="Q757" t="s">
        <v>21</v>
      </c>
    </row>
    <row r="758" spans="1:17" x14ac:dyDescent="0.25">
      <c r="A758" t="s">
        <v>1241</v>
      </c>
      <c r="B758" t="s">
        <v>467</v>
      </c>
      <c r="C758" t="s">
        <v>198</v>
      </c>
      <c r="D758" s="8">
        <v>46082</v>
      </c>
      <c r="E758" t="s">
        <v>115</v>
      </c>
      <c r="F758" t="s">
        <v>31</v>
      </c>
      <c r="G758" t="s">
        <v>31</v>
      </c>
      <c r="H758" t="s">
        <v>143</v>
      </c>
      <c r="I758" t="s">
        <v>136</v>
      </c>
      <c r="J758" t="s">
        <v>25</v>
      </c>
      <c r="K758">
        <v>3</v>
      </c>
      <c r="L758">
        <v>318367</v>
      </c>
      <c r="M758">
        <v>25000</v>
      </c>
      <c r="N758" t="s">
        <v>137</v>
      </c>
      <c r="O758" t="s">
        <v>138</v>
      </c>
      <c r="P758" t="s">
        <v>156</v>
      </c>
      <c r="Q758" t="s">
        <v>21</v>
      </c>
    </row>
    <row r="759" spans="1:17" x14ac:dyDescent="0.25">
      <c r="A759" t="s">
        <v>1242</v>
      </c>
      <c r="B759" t="s">
        <v>770</v>
      </c>
      <c r="C759" t="s">
        <v>246</v>
      </c>
      <c r="D759" s="8">
        <v>46186</v>
      </c>
      <c r="E759" t="s">
        <v>113</v>
      </c>
      <c r="F759" t="s">
        <v>34</v>
      </c>
      <c r="G759" t="s">
        <v>34</v>
      </c>
      <c r="H759" t="s">
        <v>1315</v>
      </c>
      <c r="I759" t="s">
        <v>177</v>
      </c>
      <c r="J759" t="s">
        <v>32</v>
      </c>
      <c r="K759">
        <v>2</v>
      </c>
      <c r="L759">
        <v>1574533</v>
      </c>
      <c r="M759">
        <v>35000</v>
      </c>
      <c r="N759" t="s">
        <v>137</v>
      </c>
      <c r="O759" t="s">
        <v>138</v>
      </c>
      <c r="P759" t="s">
        <v>139</v>
      </c>
      <c r="Q759" t="s">
        <v>21</v>
      </c>
    </row>
    <row r="760" spans="1:17" x14ac:dyDescent="0.25">
      <c r="A760" t="s">
        <v>1243</v>
      </c>
      <c r="B760" t="s">
        <v>644</v>
      </c>
      <c r="C760" t="s">
        <v>337</v>
      </c>
      <c r="D760" s="8">
        <v>46133</v>
      </c>
      <c r="E760" t="s">
        <v>117</v>
      </c>
      <c r="F760" t="s">
        <v>31</v>
      </c>
      <c r="G760" t="s">
        <v>31</v>
      </c>
      <c r="H760" t="s">
        <v>28</v>
      </c>
      <c r="I760" t="s">
        <v>147</v>
      </c>
      <c r="J760" t="s">
        <v>29</v>
      </c>
      <c r="K760">
        <v>3</v>
      </c>
      <c r="L760">
        <v>482578</v>
      </c>
      <c r="M760">
        <v>50000</v>
      </c>
      <c r="N760" t="s">
        <v>417</v>
      </c>
      <c r="O760" t="s">
        <v>165</v>
      </c>
      <c r="P760" t="s">
        <v>156</v>
      </c>
      <c r="Q760" t="s">
        <v>21</v>
      </c>
    </row>
    <row r="761" spans="1:17" x14ac:dyDescent="0.25">
      <c r="A761" t="s">
        <v>1244</v>
      </c>
      <c r="B761" t="s">
        <v>410</v>
      </c>
      <c r="C761" t="s">
        <v>411</v>
      </c>
      <c r="D761" s="8">
        <v>46152</v>
      </c>
      <c r="E761" t="s">
        <v>26</v>
      </c>
      <c r="F761" t="s">
        <v>18</v>
      </c>
      <c r="G761" t="s">
        <v>18</v>
      </c>
      <c r="H761" t="s">
        <v>143</v>
      </c>
      <c r="I761" t="s">
        <v>177</v>
      </c>
      <c r="J761" t="s">
        <v>32</v>
      </c>
      <c r="K761">
        <v>3</v>
      </c>
      <c r="L761">
        <v>728385</v>
      </c>
      <c r="M761">
        <v>50000</v>
      </c>
      <c r="N761" t="s">
        <v>137</v>
      </c>
      <c r="O761" t="s">
        <v>165</v>
      </c>
      <c r="P761" t="s">
        <v>156</v>
      </c>
      <c r="Q761" t="s">
        <v>21</v>
      </c>
    </row>
    <row r="762" spans="1:17" x14ac:dyDescent="0.25">
      <c r="A762" t="s">
        <v>1245</v>
      </c>
      <c r="B762" t="s">
        <v>1246</v>
      </c>
      <c r="C762" t="s">
        <v>284</v>
      </c>
      <c r="D762" s="8">
        <v>46130</v>
      </c>
      <c r="E762" t="s">
        <v>117</v>
      </c>
      <c r="F762" t="s">
        <v>23</v>
      </c>
      <c r="G762" t="s">
        <v>23</v>
      </c>
      <c r="H762" t="s">
        <v>1315</v>
      </c>
      <c r="I762" t="s">
        <v>147</v>
      </c>
      <c r="J762" t="s">
        <v>29</v>
      </c>
      <c r="K762">
        <v>5</v>
      </c>
      <c r="L762">
        <v>589258</v>
      </c>
      <c r="M762">
        <v>50000</v>
      </c>
      <c r="N762" t="s">
        <v>137</v>
      </c>
      <c r="O762" t="s">
        <v>161</v>
      </c>
      <c r="P762" t="s">
        <v>156</v>
      </c>
      <c r="Q762" t="s">
        <v>21</v>
      </c>
    </row>
    <row r="763" spans="1:17" x14ac:dyDescent="0.25">
      <c r="A763" t="s">
        <v>1247</v>
      </c>
      <c r="B763" t="s">
        <v>274</v>
      </c>
      <c r="C763" t="s">
        <v>192</v>
      </c>
      <c r="D763" s="8">
        <v>46108</v>
      </c>
      <c r="E763" t="s">
        <v>115</v>
      </c>
      <c r="F763" t="s">
        <v>27</v>
      </c>
      <c r="G763" t="s">
        <v>27</v>
      </c>
      <c r="H763" t="s">
        <v>28</v>
      </c>
      <c r="I763" t="s">
        <v>147</v>
      </c>
      <c r="J763" t="s">
        <v>32</v>
      </c>
      <c r="K763">
        <v>3</v>
      </c>
      <c r="L763">
        <v>2171769</v>
      </c>
      <c r="M763">
        <v>0</v>
      </c>
      <c r="N763" t="s">
        <v>137</v>
      </c>
      <c r="O763" t="s">
        <v>165</v>
      </c>
      <c r="P763" t="s">
        <v>156</v>
      </c>
      <c r="Q763" t="s">
        <v>1318</v>
      </c>
    </row>
    <row r="764" spans="1:17" x14ac:dyDescent="0.25">
      <c r="A764" t="s">
        <v>1248</v>
      </c>
      <c r="B764" t="s">
        <v>319</v>
      </c>
      <c r="C764" t="s">
        <v>320</v>
      </c>
      <c r="D764" s="8">
        <v>46112</v>
      </c>
      <c r="E764" t="s">
        <v>115</v>
      </c>
      <c r="F764" t="s">
        <v>18</v>
      </c>
      <c r="G764" t="s">
        <v>18</v>
      </c>
      <c r="H764" t="s">
        <v>160</v>
      </c>
      <c r="I764" t="s">
        <v>147</v>
      </c>
      <c r="J764" t="s">
        <v>20</v>
      </c>
      <c r="K764">
        <v>2</v>
      </c>
      <c r="L764">
        <v>1831269</v>
      </c>
      <c r="M764">
        <v>0</v>
      </c>
      <c r="N764" t="s">
        <v>137</v>
      </c>
      <c r="O764" t="s">
        <v>138</v>
      </c>
      <c r="P764" t="s">
        <v>139</v>
      </c>
      <c r="Q764" t="s">
        <v>1318</v>
      </c>
    </row>
    <row r="765" spans="1:17" x14ac:dyDescent="0.25">
      <c r="A765" t="s">
        <v>1249</v>
      </c>
      <c r="B765" t="s">
        <v>225</v>
      </c>
      <c r="C765" t="s">
        <v>226</v>
      </c>
      <c r="D765" s="8">
        <v>46041</v>
      </c>
      <c r="E765" t="s">
        <v>116</v>
      </c>
      <c r="F765" t="s">
        <v>27</v>
      </c>
      <c r="G765" t="s">
        <v>27</v>
      </c>
      <c r="H765" t="s">
        <v>160</v>
      </c>
      <c r="I765" t="s">
        <v>177</v>
      </c>
      <c r="J765" t="s">
        <v>20</v>
      </c>
      <c r="K765">
        <v>7</v>
      </c>
      <c r="L765">
        <v>1405788</v>
      </c>
      <c r="M765">
        <v>15000</v>
      </c>
      <c r="N765" t="s">
        <v>137</v>
      </c>
      <c r="O765" t="s">
        <v>165</v>
      </c>
      <c r="P765" t="s">
        <v>156</v>
      </c>
      <c r="Q765" t="s">
        <v>21</v>
      </c>
    </row>
    <row r="766" spans="1:17" x14ac:dyDescent="0.25">
      <c r="A766" t="s">
        <v>1250</v>
      </c>
      <c r="B766" t="s">
        <v>365</v>
      </c>
      <c r="C766" t="s">
        <v>240</v>
      </c>
      <c r="D766" s="8">
        <v>46098</v>
      </c>
      <c r="E766" t="s">
        <v>115</v>
      </c>
      <c r="F766" t="s">
        <v>31</v>
      </c>
      <c r="G766" t="s">
        <v>31</v>
      </c>
      <c r="H766" t="s">
        <v>160</v>
      </c>
      <c r="I766" t="s">
        <v>39</v>
      </c>
      <c r="J766" t="s">
        <v>25</v>
      </c>
      <c r="K766">
        <v>2</v>
      </c>
      <c r="L766">
        <v>627827</v>
      </c>
      <c r="M766">
        <v>15000</v>
      </c>
      <c r="N766" t="s">
        <v>148</v>
      </c>
      <c r="O766" t="s">
        <v>161</v>
      </c>
      <c r="P766" t="s">
        <v>139</v>
      </c>
      <c r="Q766" t="s">
        <v>21</v>
      </c>
    </row>
    <row r="767" spans="1:17" x14ac:dyDescent="0.25">
      <c r="A767" t="s">
        <v>1251</v>
      </c>
      <c r="B767" t="s">
        <v>662</v>
      </c>
      <c r="C767" t="s">
        <v>223</v>
      </c>
      <c r="D767" s="8">
        <v>46201</v>
      </c>
      <c r="E767" t="s">
        <v>113</v>
      </c>
      <c r="F767" t="s">
        <v>27</v>
      </c>
      <c r="G767" t="s">
        <v>27</v>
      </c>
      <c r="H767" t="s">
        <v>28</v>
      </c>
      <c r="I767" t="s">
        <v>169</v>
      </c>
      <c r="J767" t="s">
        <v>35</v>
      </c>
      <c r="K767">
        <v>4</v>
      </c>
      <c r="L767">
        <v>1379194</v>
      </c>
      <c r="M767">
        <v>25000</v>
      </c>
      <c r="N767" t="s">
        <v>137</v>
      </c>
      <c r="O767" t="s">
        <v>161</v>
      </c>
      <c r="P767" t="s">
        <v>156</v>
      </c>
      <c r="Q767" t="s">
        <v>21</v>
      </c>
    </row>
    <row r="768" spans="1:17" x14ac:dyDescent="0.25">
      <c r="A768" t="s">
        <v>1252</v>
      </c>
      <c r="B768" t="s">
        <v>462</v>
      </c>
      <c r="C768" t="s">
        <v>202</v>
      </c>
      <c r="D768" s="8">
        <v>46148</v>
      </c>
      <c r="E768" t="s">
        <v>26</v>
      </c>
      <c r="F768" t="s">
        <v>31</v>
      </c>
      <c r="G768" t="s">
        <v>31</v>
      </c>
      <c r="H768" t="s">
        <v>28</v>
      </c>
      <c r="I768" t="s">
        <v>147</v>
      </c>
      <c r="J768" t="s">
        <v>20</v>
      </c>
      <c r="K768">
        <v>3</v>
      </c>
      <c r="L768">
        <v>252196</v>
      </c>
      <c r="M768">
        <v>35000</v>
      </c>
      <c r="N768" t="s">
        <v>137</v>
      </c>
      <c r="O768" t="s">
        <v>161</v>
      </c>
      <c r="P768" t="s">
        <v>139</v>
      </c>
      <c r="Q768" t="s">
        <v>21</v>
      </c>
    </row>
    <row r="769" spans="1:17" x14ac:dyDescent="0.25">
      <c r="A769" t="s">
        <v>1253</v>
      </c>
      <c r="B769" t="s">
        <v>209</v>
      </c>
      <c r="C769" t="s">
        <v>210</v>
      </c>
      <c r="D769" s="8">
        <v>25569</v>
      </c>
      <c r="E769" t="s">
        <v>116</v>
      </c>
      <c r="F769" t="s">
        <v>23</v>
      </c>
      <c r="G769" t="s">
        <v>23</v>
      </c>
      <c r="H769" t="s">
        <v>28</v>
      </c>
      <c r="I769" t="s">
        <v>136</v>
      </c>
      <c r="J769" t="s">
        <v>35</v>
      </c>
      <c r="K769">
        <v>1</v>
      </c>
      <c r="L769">
        <v>1592431</v>
      </c>
      <c r="M769">
        <v>35000</v>
      </c>
      <c r="N769" t="s">
        <v>137</v>
      </c>
      <c r="O769" t="s">
        <v>149</v>
      </c>
      <c r="P769" t="s">
        <v>156</v>
      </c>
      <c r="Q769" t="s">
        <v>121</v>
      </c>
    </row>
    <row r="770" spans="1:17" x14ac:dyDescent="0.25">
      <c r="A770" t="s">
        <v>1254</v>
      </c>
      <c r="B770" t="s">
        <v>443</v>
      </c>
      <c r="C770" t="s">
        <v>246</v>
      </c>
      <c r="D770" s="8">
        <v>46085</v>
      </c>
      <c r="E770" t="s">
        <v>115</v>
      </c>
      <c r="F770" t="s">
        <v>31</v>
      </c>
      <c r="G770" t="s">
        <v>31</v>
      </c>
      <c r="H770" t="s">
        <v>160</v>
      </c>
      <c r="I770" t="s">
        <v>136</v>
      </c>
      <c r="J770" t="s">
        <v>25</v>
      </c>
      <c r="K770">
        <v>4</v>
      </c>
      <c r="L770">
        <v>514288</v>
      </c>
      <c r="M770">
        <v>35000</v>
      </c>
      <c r="N770" t="s">
        <v>137</v>
      </c>
      <c r="O770" t="s">
        <v>161</v>
      </c>
      <c r="P770" t="s">
        <v>139</v>
      </c>
      <c r="Q770" t="s">
        <v>21</v>
      </c>
    </row>
    <row r="771" spans="1:17" x14ac:dyDescent="0.25">
      <c r="A771" t="s">
        <v>1255</v>
      </c>
      <c r="B771" t="s">
        <v>248</v>
      </c>
      <c r="C771" t="s">
        <v>226</v>
      </c>
      <c r="D771" s="8">
        <v>46180</v>
      </c>
      <c r="E771" t="s">
        <v>113</v>
      </c>
      <c r="F771" t="s">
        <v>23</v>
      </c>
      <c r="G771" t="s">
        <v>23</v>
      </c>
      <c r="H771" t="s">
        <v>28</v>
      </c>
      <c r="I771" t="s">
        <v>173</v>
      </c>
      <c r="J771" t="s">
        <v>35</v>
      </c>
      <c r="K771">
        <v>1</v>
      </c>
      <c r="L771">
        <v>1842210</v>
      </c>
      <c r="M771">
        <v>0</v>
      </c>
      <c r="N771" t="s">
        <v>137</v>
      </c>
      <c r="O771" t="s">
        <v>138</v>
      </c>
      <c r="P771" t="s">
        <v>156</v>
      </c>
      <c r="Q771" t="s">
        <v>1318</v>
      </c>
    </row>
    <row r="772" spans="1:17" x14ac:dyDescent="0.25">
      <c r="A772" t="s">
        <v>1256</v>
      </c>
      <c r="B772" t="s">
        <v>571</v>
      </c>
      <c r="C772" t="s">
        <v>441</v>
      </c>
      <c r="D772" s="8">
        <v>46093</v>
      </c>
      <c r="E772" t="s">
        <v>115</v>
      </c>
      <c r="F772" t="s">
        <v>23</v>
      </c>
      <c r="G772" t="s">
        <v>23</v>
      </c>
      <c r="H772" t="s">
        <v>1315</v>
      </c>
      <c r="I772" t="s">
        <v>147</v>
      </c>
      <c r="J772" t="s">
        <v>20</v>
      </c>
      <c r="K772">
        <v>7</v>
      </c>
      <c r="L772">
        <v>2489991</v>
      </c>
      <c r="M772">
        <v>35000</v>
      </c>
      <c r="N772" t="s">
        <v>43</v>
      </c>
      <c r="O772" t="s">
        <v>138</v>
      </c>
      <c r="P772" t="s">
        <v>139</v>
      </c>
      <c r="Q772" t="s">
        <v>38</v>
      </c>
    </row>
    <row r="773" spans="1:17" x14ac:dyDescent="0.25">
      <c r="A773" t="s">
        <v>1257</v>
      </c>
      <c r="B773" t="s">
        <v>429</v>
      </c>
      <c r="C773" t="s">
        <v>164</v>
      </c>
      <c r="D773" s="8">
        <v>46138</v>
      </c>
      <c r="E773" t="s">
        <v>117</v>
      </c>
      <c r="F773" t="s">
        <v>23</v>
      </c>
      <c r="G773" t="s">
        <v>23</v>
      </c>
      <c r="H773" t="s">
        <v>143</v>
      </c>
      <c r="I773" t="s">
        <v>173</v>
      </c>
      <c r="J773" t="s">
        <v>29</v>
      </c>
      <c r="K773">
        <v>1</v>
      </c>
      <c r="L773">
        <v>1350564</v>
      </c>
      <c r="M773">
        <v>15000</v>
      </c>
      <c r="N773" t="s">
        <v>137</v>
      </c>
      <c r="O773" t="s">
        <v>161</v>
      </c>
      <c r="P773" t="s">
        <v>139</v>
      </c>
      <c r="Q773" t="s">
        <v>21</v>
      </c>
    </row>
    <row r="774" spans="1:17" x14ac:dyDescent="0.25">
      <c r="A774" t="s">
        <v>1258</v>
      </c>
      <c r="B774" t="s">
        <v>283</v>
      </c>
      <c r="C774" t="s">
        <v>284</v>
      </c>
      <c r="D774" s="8">
        <v>46086</v>
      </c>
      <c r="E774" t="s">
        <v>115</v>
      </c>
      <c r="F774" t="s">
        <v>18</v>
      </c>
      <c r="G774" t="s">
        <v>18</v>
      </c>
      <c r="H774" t="s">
        <v>28</v>
      </c>
      <c r="I774" t="s">
        <v>173</v>
      </c>
      <c r="J774" t="s">
        <v>25</v>
      </c>
      <c r="K774">
        <v>7</v>
      </c>
      <c r="L774">
        <v>143876</v>
      </c>
      <c r="M774">
        <v>35000</v>
      </c>
      <c r="N774" t="s">
        <v>137</v>
      </c>
      <c r="O774" t="s">
        <v>390</v>
      </c>
      <c r="P774" t="s">
        <v>156</v>
      </c>
      <c r="Q774" t="s">
        <v>21</v>
      </c>
    </row>
    <row r="775" spans="1:17" x14ac:dyDescent="0.25">
      <c r="A775" t="s">
        <v>1259</v>
      </c>
      <c r="B775" t="s">
        <v>722</v>
      </c>
      <c r="C775" t="s">
        <v>172</v>
      </c>
      <c r="D775" s="8">
        <v>46110</v>
      </c>
      <c r="E775" t="s">
        <v>115</v>
      </c>
      <c r="F775" t="s">
        <v>23</v>
      </c>
      <c r="G775" t="s">
        <v>23</v>
      </c>
      <c r="H775" t="s">
        <v>160</v>
      </c>
      <c r="I775" t="s">
        <v>177</v>
      </c>
      <c r="J775" t="s">
        <v>29</v>
      </c>
      <c r="K775">
        <v>6</v>
      </c>
      <c r="L775">
        <v>2189264</v>
      </c>
      <c r="M775">
        <v>15000</v>
      </c>
      <c r="N775" t="s">
        <v>137</v>
      </c>
      <c r="O775" t="s">
        <v>138</v>
      </c>
      <c r="P775" t="s">
        <v>156</v>
      </c>
      <c r="Q775" t="s">
        <v>21</v>
      </c>
    </row>
    <row r="776" spans="1:17" x14ac:dyDescent="0.25">
      <c r="A776" t="s">
        <v>1260</v>
      </c>
      <c r="B776" t="s">
        <v>758</v>
      </c>
      <c r="C776" t="s">
        <v>759</v>
      </c>
      <c r="D776" s="8">
        <v>46177</v>
      </c>
      <c r="E776" t="s">
        <v>113</v>
      </c>
      <c r="F776" t="s">
        <v>31</v>
      </c>
      <c r="G776" t="s">
        <v>31</v>
      </c>
      <c r="H776" t="s">
        <v>160</v>
      </c>
      <c r="I776" t="s">
        <v>169</v>
      </c>
      <c r="J776" t="s">
        <v>35</v>
      </c>
      <c r="K776">
        <v>4</v>
      </c>
      <c r="L776">
        <v>2480431</v>
      </c>
      <c r="M776">
        <v>0</v>
      </c>
      <c r="N776" t="s">
        <v>137</v>
      </c>
      <c r="O776" t="s">
        <v>165</v>
      </c>
      <c r="P776" t="s">
        <v>139</v>
      </c>
      <c r="Q776" t="s">
        <v>1318</v>
      </c>
    </row>
    <row r="777" spans="1:17" x14ac:dyDescent="0.25">
      <c r="A777" t="s">
        <v>1261</v>
      </c>
      <c r="B777" t="s">
        <v>943</v>
      </c>
      <c r="C777" t="s">
        <v>435</v>
      </c>
      <c r="D777" s="8">
        <v>46162</v>
      </c>
      <c r="E777" t="s">
        <v>26</v>
      </c>
      <c r="F777" t="s">
        <v>31</v>
      </c>
      <c r="G777" t="s">
        <v>31</v>
      </c>
      <c r="H777" t="s">
        <v>160</v>
      </c>
      <c r="I777" t="s">
        <v>173</v>
      </c>
      <c r="J777" t="s">
        <v>20</v>
      </c>
      <c r="K777">
        <v>4</v>
      </c>
      <c r="L777">
        <v>565972</v>
      </c>
      <c r="M777">
        <v>35000</v>
      </c>
      <c r="N777" t="s">
        <v>137</v>
      </c>
      <c r="O777" t="s">
        <v>138</v>
      </c>
      <c r="P777" t="s">
        <v>139</v>
      </c>
      <c r="Q777" t="s">
        <v>21</v>
      </c>
    </row>
    <row r="778" spans="1:17" x14ac:dyDescent="0.25">
      <c r="A778" t="s">
        <v>1262</v>
      </c>
      <c r="B778" t="s">
        <v>839</v>
      </c>
      <c r="C778" t="s">
        <v>526</v>
      </c>
      <c r="D778" s="8">
        <v>46193</v>
      </c>
      <c r="E778" t="s">
        <v>113</v>
      </c>
      <c r="F778" t="s">
        <v>18</v>
      </c>
      <c r="G778" t="s">
        <v>18</v>
      </c>
      <c r="H778" t="s">
        <v>160</v>
      </c>
      <c r="I778" t="s">
        <v>173</v>
      </c>
      <c r="J778" t="s">
        <v>29</v>
      </c>
      <c r="K778">
        <v>4</v>
      </c>
      <c r="L778" t="s">
        <v>1263</v>
      </c>
      <c r="M778">
        <v>35000</v>
      </c>
      <c r="N778" t="s">
        <v>137</v>
      </c>
      <c r="O778" t="s">
        <v>161</v>
      </c>
      <c r="P778" t="s">
        <v>156</v>
      </c>
      <c r="Q778" t="s">
        <v>21</v>
      </c>
    </row>
    <row r="779" spans="1:17" x14ac:dyDescent="0.25">
      <c r="A779" t="s">
        <v>1264</v>
      </c>
      <c r="B779" t="s">
        <v>705</v>
      </c>
      <c r="C779" t="s">
        <v>502</v>
      </c>
      <c r="D779" s="8">
        <v>46070</v>
      </c>
      <c r="E779" t="s">
        <v>114</v>
      </c>
      <c r="F779" t="s">
        <v>23</v>
      </c>
      <c r="G779" t="s">
        <v>23</v>
      </c>
      <c r="H779" t="s">
        <v>143</v>
      </c>
      <c r="I779" t="s">
        <v>147</v>
      </c>
      <c r="J779" t="s">
        <v>32</v>
      </c>
      <c r="K779">
        <v>6</v>
      </c>
      <c r="L779">
        <v>944252</v>
      </c>
      <c r="M779">
        <v>35000</v>
      </c>
      <c r="N779" t="s">
        <v>93</v>
      </c>
      <c r="O779" t="s">
        <v>138</v>
      </c>
      <c r="P779" t="s">
        <v>156</v>
      </c>
      <c r="Q779" t="s">
        <v>21</v>
      </c>
    </row>
    <row r="780" spans="1:17" x14ac:dyDescent="0.25">
      <c r="A780" t="s">
        <v>1265</v>
      </c>
      <c r="B780" t="s">
        <v>1132</v>
      </c>
      <c r="C780" t="s">
        <v>287</v>
      </c>
      <c r="D780" s="8">
        <v>46033</v>
      </c>
      <c r="E780" t="s">
        <v>116</v>
      </c>
      <c r="F780" t="s">
        <v>31</v>
      </c>
      <c r="G780" t="s">
        <v>31</v>
      </c>
      <c r="H780" t="s">
        <v>160</v>
      </c>
      <c r="I780" t="s">
        <v>136</v>
      </c>
      <c r="J780" t="s">
        <v>20</v>
      </c>
      <c r="K780">
        <v>2</v>
      </c>
      <c r="L780">
        <v>1094119</v>
      </c>
      <c r="M780">
        <v>15000</v>
      </c>
      <c r="N780" t="s">
        <v>137</v>
      </c>
      <c r="O780" t="s">
        <v>138</v>
      </c>
      <c r="P780" t="s">
        <v>156</v>
      </c>
      <c r="Q780" t="s">
        <v>21</v>
      </c>
    </row>
    <row r="781" spans="1:17" x14ac:dyDescent="0.25">
      <c r="A781" t="s">
        <v>1266</v>
      </c>
      <c r="B781" t="s">
        <v>560</v>
      </c>
      <c r="C781" t="s">
        <v>164</v>
      </c>
      <c r="D781" s="8">
        <v>46157</v>
      </c>
      <c r="E781" t="s">
        <v>26</v>
      </c>
      <c r="F781" t="s">
        <v>118</v>
      </c>
      <c r="G781" t="s">
        <v>18</v>
      </c>
      <c r="H781" t="s">
        <v>1315</v>
      </c>
      <c r="I781" t="s">
        <v>177</v>
      </c>
      <c r="J781" t="s">
        <v>32</v>
      </c>
      <c r="K781">
        <v>5</v>
      </c>
      <c r="L781">
        <v>1235213</v>
      </c>
      <c r="M781">
        <v>50000</v>
      </c>
      <c r="N781" t="s">
        <v>137</v>
      </c>
      <c r="O781" t="s">
        <v>165</v>
      </c>
      <c r="P781" t="s">
        <v>156</v>
      </c>
      <c r="Q781" t="s">
        <v>21</v>
      </c>
    </row>
    <row r="782" spans="1:17" x14ac:dyDescent="0.25">
      <c r="A782" t="s">
        <v>1267</v>
      </c>
      <c r="B782" t="s">
        <v>376</v>
      </c>
      <c r="C782" t="s">
        <v>261</v>
      </c>
      <c r="D782" s="8">
        <v>46192</v>
      </c>
      <c r="E782" t="s">
        <v>113</v>
      </c>
      <c r="F782" t="s">
        <v>27</v>
      </c>
      <c r="G782" t="s">
        <v>27</v>
      </c>
      <c r="H782" t="s">
        <v>160</v>
      </c>
      <c r="I782" t="s">
        <v>177</v>
      </c>
      <c r="J782" t="s">
        <v>29</v>
      </c>
      <c r="L782">
        <v>2111285</v>
      </c>
      <c r="M782">
        <v>35000</v>
      </c>
      <c r="N782" t="s">
        <v>137</v>
      </c>
      <c r="O782" t="s">
        <v>161</v>
      </c>
      <c r="P782" t="s">
        <v>156</v>
      </c>
      <c r="Q782" t="s">
        <v>1319</v>
      </c>
    </row>
    <row r="783" spans="1:17" x14ac:dyDescent="0.25">
      <c r="A783" t="s">
        <v>1268</v>
      </c>
      <c r="B783" t="s">
        <v>167</v>
      </c>
      <c r="C783" t="s">
        <v>168</v>
      </c>
      <c r="D783" s="8">
        <v>46040</v>
      </c>
      <c r="E783" t="s">
        <v>116</v>
      </c>
      <c r="F783" t="s">
        <v>31</v>
      </c>
      <c r="G783" t="s">
        <v>31</v>
      </c>
      <c r="H783" t="s">
        <v>1315</v>
      </c>
      <c r="I783" t="s">
        <v>177</v>
      </c>
      <c r="J783" t="s">
        <v>25</v>
      </c>
      <c r="K783">
        <v>1</v>
      </c>
      <c r="L783">
        <v>2123570</v>
      </c>
      <c r="M783">
        <v>50000</v>
      </c>
      <c r="N783" t="s">
        <v>137</v>
      </c>
      <c r="O783" t="s">
        <v>161</v>
      </c>
      <c r="P783" t="s">
        <v>139</v>
      </c>
      <c r="Q783" t="s">
        <v>21</v>
      </c>
    </row>
    <row r="784" spans="1:17" x14ac:dyDescent="0.25">
      <c r="A784" t="s">
        <v>1269</v>
      </c>
      <c r="B784" t="s">
        <v>489</v>
      </c>
      <c r="C784" t="s">
        <v>452</v>
      </c>
      <c r="D784" s="8">
        <v>46133</v>
      </c>
      <c r="E784" t="s">
        <v>117</v>
      </c>
      <c r="F784" t="s">
        <v>34</v>
      </c>
      <c r="G784" t="s">
        <v>34</v>
      </c>
      <c r="H784" t="s">
        <v>28</v>
      </c>
      <c r="I784" t="s">
        <v>39</v>
      </c>
      <c r="J784" t="s">
        <v>35</v>
      </c>
      <c r="K784">
        <v>7</v>
      </c>
      <c r="L784">
        <v>299972</v>
      </c>
      <c r="M784">
        <v>25000</v>
      </c>
      <c r="N784" t="s">
        <v>137</v>
      </c>
      <c r="O784" t="s">
        <v>161</v>
      </c>
      <c r="P784" t="s">
        <v>156</v>
      </c>
      <c r="Q784" t="s">
        <v>21</v>
      </c>
    </row>
    <row r="785" spans="1:17" x14ac:dyDescent="0.25">
      <c r="A785" t="s">
        <v>1270</v>
      </c>
      <c r="B785" t="s">
        <v>1271</v>
      </c>
      <c r="C785" t="s">
        <v>317</v>
      </c>
      <c r="D785" s="8">
        <v>46055</v>
      </c>
      <c r="E785" t="s">
        <v>114</v>
      </c>
      <c r="F785" t="s">
        <v>18</v>
      </c>
      <c r="G785" t="s">
        <v>18</v>
      </c>
      <c r="H785" t="s">
        <v>143</v>
      </c>
      <c r="I785" t="s">
        <v>147</v>
      </c>
      <c r="J785" t="s">
        <v>35</v>
      </c>
      <c r="K785">
        <v>7</v>
      </c>
      <c r="L785">
        <v>2130605</v>
      </c>
      <c r="M785">
        <v>50000</v>
      </c>
      <c r="N785" t="s">
        <v>137</v>
      </c>
      <c r="O785" t="s">
        <v>138</v>
      </c>
      <c r="P785" t="s">
        <v>139</v>
      </c>
      <c r="Q785" t="s">
        <v>21</v>
      </c>
    </row>
    <row r="786" spans="1:17" x14ac:dyDescent="0.25">
      <c r="A786" t="s">
        <v>1272</v>
      </c>
      <c r="B786" t="s">
        <v>308</v>
      </c>
      <c r="C786" t="s">
        <v>22</v>
      </c>
      <c r="D786" s="8">
        <v>46042</v>
      </c>
      <c r="E786" t="s">
        <v>116</v>
      </c>
      <c r="F786" t="s">
        <v>18</v>
      </c>
      <c r="G786" t="s">
        <v>18</v>
      </c>
      <c r="H786" t="s">
        <v>160</v>
      </c>
      <c r="I786" t="s">
        <v>136</v>
      </c>
      <c r="J786" t="s">
        <v>25</v>
      </c>
      <c r="K786">
        <v>1</v>
      </c>
      <c r="L786">
        <v>1935049</v>
      </c>
      <c r="M786">
        <v>50000</v>
      </c>
      <c r="N786" t="s">
        <v>137</v>
      </c>
      <c r="O786" t="s">
        <v>138</v>
      </c>
      <c r="P786" t="s">
        <v>139</v>
      </c>
      <c r="Q786" t="s">
        <v>21</v>
      </c>
    </row>
    <row r="787" spans="1:17" x14ac:dyDescent="0.25">
      <c r="A787" t="s">
        <v>1273</v>
      </c>
      <c r="B787" t="s">
        <v>151</v>
      </c>
      <c r="C787" t="s">
        <v>152</v>
      </c>
      <c r="D787" s="8">
        <v>46141</v>
      </c>
      <c r="E787" t="s">
        <v>117</v>
      </c>
      <c r="F787" t="s">
        <v>34</v>
      </c>
      <c r="G787" t="s">
        <v>34</v>
      </c>
      <c r="H787" t="s">
        <v>28</v>
      </c>
      <c r="I787" t="s">
        <v>147</v>
      </c>
      <c r="J787" t="s">
        <v>32</v>
      </c>
      <c r="K787">
        <v>7</v>
      </c>
      <c r="L787">
        <v>1552281</v>
      </c>
      <c r="M787">
        <v>25000</v>
      </c>
      <c r="N787" t="s">
        <v>137</v>
      </c>
      <c r="O787" t="s">
        <v>161</v>
      </c>
      <c r="P787" t="s">
        <v>139</v>
      </c>
      <c r="Q787" t="s">
        <v>21</v>
      </c>
    </row>
    <row r="788" spans="1:17" x14ac:dyDescent="0.25">
      <c r="A788" t="s">
        <v>1274</v>
      </c>
      <c r="B788" t="s">
        <v>925</v>
      </c>
      <c r="C788" t="s">
        <v>258</v>
      </c>
      <c r="D788" s="8">
        <v>46199</v>
      </c>
      <c r="E788" t="s">
        <v>113</v>
      </c>
      <c r="F788" t="s">
        <v>31</v>
      </c>
      <c r="G788" t="s">
        <v>31</v>
      </c>
      <c r="H788" t="s">
        <v>1315</v>
      </c>
      <c r="I788" t="s">
        <v>173</v>
      </c>
      <c r="J788" t="s">
        <v>32</v>
      </c>
      <c r="K788">
        <v>5</v>
      </c>
      <c r="L788">
        <v>2469597</v>
      </c>
      <c r="M788">
        <v>50000</v>
      </c>
      <c r="N788" t="s">
        <v>137</v>
      </c>
      <c r="O788" t="s">
        <v>138</v>
      </c>
      <c r="P788" t="s">
        <v>139</v>
      </c>
      <c r="Q788" t="s">
        <v>21</v>
      </c>
    </row>
    <row r="789" spans="1:17" x14ac:dyDescent="0.25">
      <c r="A789" t="s">
        <v>1275</v>
      </c>
      <c r="B789" t="s">
        <v>245</v>
      </c>
      <c r="C789" t="s">
        <v>246</v>
      </c>
      <c r="D789" s="8">
        <v>46155</v>
      </c>
      <c r="E789" t="s">
        <v>26</v>
      </c>
      <c r="F789" t="s">
        <v>34</v>
      </c>
      <c r="G789" t="s">
        <v>34</v>
      </c>
      <c r="H789" t="s">
        <v>143</v>
      </c>
      <c r="I789" t="s">
        <v>136</v>
      </c>
      <c r="J789" t="s">
        <v>25</v>
      </c>
      <c r="K789">
        <v>6</v>
      </c>
      <c r="L789">
        <v>383965</v>
      </c>
      <c r="M789">
        <v>25000</v>
      </c>
      <c r="N789" t="s">
        <v>137</v>
      </c>
      <c r="O789" t="s">
        <v>161</v>
      </c>
      <c r="P789" t="s">
        <v>156</v>
      </c>
      <c r="Q789" t="s">
        <v>21</v>
      </c>
    </row>
    <row r="790" spans="1:17" x14ac:dyDescent="0.25">
      <c r="A790" t="s">
        <v>1276</v>
      </c>
      <c r="B790" t="s">
        <v>857</v>
      </c>
      <c r="C790" t="s">
        <v>301</v>
      </c>
      <c r="D790" s="8">
        <v>46071</v>
      </c>
      <c r="E790" t="s">
        <v>114</v>
      </c>
      <c r="F790" t="s">
        <v>34</v>
      </c>
      <c r="G790" t="s">
        <v>34</v>
      </c>
      <c r="H790" t="s">
        <v>28</v>
      </c>
      <c r="I790" t="s">
        <v>169</v>
      </c>
      <c r="J790" t="s">
        <v>29</v>
      </c>
      <c r="K790">
        <v>2</v>
      </c>
      <c r="L790">
        <v>1581770</v>
      </c>
      <c r="M790">
        <v>25000</v>
      </c>
      <c r="N790" t="s">
        <v>148</v>
      </c>
      <c r="O790" t="s">
        <v>165</v>
      </c>
      <c r="P790" t="s">
        <v>156</v>
      </c>
      <c r="Q790" t="s">
        <v>21</v>
      </c>
    </row>
    <row r="791" spans="1:17" x14ac:dyDescent="0.25">
      <c r="A791" t="s">
        <v>1277</v>
      </c>
      <c r="B791" t="s">
        <v>746</v>
      </c>
      <c r="C791" t="s">
        <v>192</v>
      </c>
      <c r="D791" s="8">
        <v>46199</v>
      </c>
      <c r="E791" t="s">
        <v>113</v>
      </c>
      <c r="F791" t="s">
        <v>27</v>
      </c>
      <c r="G791" t="s">
        <v>27</v>
      </c>
      <c r="H791" t="s">
        <v>1315</v>
      </c>
      <c r="I791" t="s">
        <v>177</v>
      </c>
      <c r="J791" t="s">
        <v>32</v>
      </c>
      <c r="K791">
        <v>6</v>
      </c>
      <c r="L791">
        <v>1357383</v>
      </c>
      <c r="M791">
        <v>15000</v>
      </c>
      <c r="N791" t="s">
        <v>137</v>
      </c>
      <c r="O791" t="s">
        <v>138</v>
      </c>
      <c r="P791" t="s">
        <v>156</v>
      </c>
      <c r="Q791" t="s">
        <v>21</v>
      </c>
    </row>
    <row r="792" spans="1:17" x14ac:dyDescent="0.25">
      <c r="A792" t="s">
        <v>1278</v>
      </c>
      <c r="B792" t="s">
        <v>235</v>
      </c>
      <c r="C792" t="s">
        <v>142</v>
      </c>
      <c r="D792" s="8">
        <v>46097</v>
      </c>
      <c r="E792" t="s">
        <v>115</v>
      </c>
      <c r="F792" t="s">
        <v>31</v>
      </c>
      <c r="G792" t="s">
        <v>31</v>
      </c>
      <c r="H792" t="s">
        <v>1315</v>
      </c>
      <c r="I792" t="s">
        <v>177</v>
      </c>
      <c r="J792" t="s">
        <v>32</v>
      </c>
      <c r="K792">
        <v>5</v>
      </c>
      <c r="L792">
        <v>1156106</v>
      </c>
      <c r="M792">
        <v>15000</v>
      </c>
      <c r="N792" t="s">
        <v>148</v>
      </c>
      <c r="O792" t="s">
        <v>138</v>
      </c>
      <c r="P792" t="s">
        <v>139</v>
      </c>
      <c r="Q792" t="s">
        <v>21</v>
      </c>
    </row>
    <row r="793" spans="1:17" x14ac:dyDescent="0.25">
      <c r="A793" t="s">
        <v>1279</v>
      </c>
      <c r="B793" t="s">
        <v>344</v>
      </c>
      <c r="C793" t="s">
        <v>345</v>
      </c>
      <c r="D793" s="8">
        <v>46092</v>
      </c>
      <c r="E793" t="s">
        <v>115</v>
      </c>
      <c r="F793" t="s">
        <v>34</v>
      </c>
      <c r="G793" t="s">
        <v>34</v>
      </c>
      <c r="H793" t="s">
        <v>160</v>
      </c>
      <c r="I793" t="s">
        <v>39</v>
      </c>
      <c r="J793" t="s">
        <v>35</v>
      </c>
      <c r="K793">
        <v>3</v>
      </c>
      <c r="L793">
        <v>2045517</v>
      </c>
      <c r="M793">
        <v>50000</v>
      </c>
      <c r="N793" t="s">
        <v>137</v>
      </c>
      <c r="O793" t="s">
        <v>138</v>
      </c>
      <c r="P793" t="s">
        <v>139</v>
      </c>
      <c r="Q793" t="s">
        <v>21</v>
      </c>
    </row>
    <row r="794" spans="1:17" x14ac:dyDescent="0.25">
      <c r="A794" t="s">
        <v>1280</v>
      </c>
      <c r="B794" t="s">
        <v>618</v>
      </c>
      <c r="C794" t="s">
        <v>323</v>
      </c>
      <c r="D794" s="8">
        <v>46040</v>
      </c>
      <c r="E794" t="s">
        <v>116</v>
      </c>
      <c r="F794" t="s">
        <v>27</v>
      </c>
      <c r="G794" t="s">
        <v>27</v>
      </c>
      <c r="H794" t="s">
        <v>1315</v>
      </c>
      <c r="I794" t="s">
        <v>147</v>
      </c>
      <c r="J794" t="s">
        <v>35</v>
      </c>
      <c r="K794">
        <v>4</v>
      </c>
      <c r="L794">
        <v>912421</v>
      </c>
      <c r="M794">
        <v>25000</v>
      </c>
      <c r="N794" t="s">
        <v>137</v>
      </c>
      <c r="O794" t="s">
        <v>149</v>
      </c>
      <c r="P794" t="s">
        <v>139</v>
      </c>
      <c r="Q794" t="s">
        <v>21</v>
      </c>
    </row>
    <row r="795" spans="1:17" x14ac:dyDescent="0.25">
      <c r="A795" t="s">
        <v>1281</v>
      </c>
      <c r="B795" t="s">
        <v>800</v>
      </c>
      <c r="C795" t="s">
        <v>192</v>
      </c>
      <c r="D795" s="8">
        <v>46091</v>
      </c>
      <c r="E795" t="s">
        <v>115</v>
      </c>
      <c r="F795" t="s">
        <v>31</v>
      </c>
      <c r="G795" t="s">
        <v>31</v>
      </c>
      <c r="H795" t="s">
        <v>1315</v>
      </c>
      <c r="I795" t="s">
        <v>173</v>
      </c>
      <c r="J795" t="s">
        <v>29</v>
      </c>
      <c r="K795">
        <v>6</v>
      </c>
      <c r="L795">
        <v>333880</v>
      </c>
      <c r="M795">
        <v>35000</v>
      </c>
      <c r="N795" t="s">
        <v>37</v>
      </c>
      <c r="O795" t="s">
        <v>165</v>
      </c>
      <c r="P795" t="s">
        <v>156</v>
      </c>
      <c r="Q795" t="s">
        <v>21</v>
      </c>
    </row>
    <row r="796" spans="1:17" x14ac:dyDescent="0.25">
      <c r="A796" t="s">
        <v>1282</v>
      </c>
      <c r="B796" t="s">
        <v>469</v>
      </c>
      <c r="C796" t="s">
        <v>281</v>
      </c>
      <c r="D796" s="8">
        <v>46115</v>
      </c>
      <c r="E796" t="s">
        <v>117</v>
      </c>
      <c r="F796" t="s">
        <v>27</v>
      </c>
      <c r="G796" t="s">
        <v>27</v>
      </c>
      <c r="H796" t="s">
        <v>1315</v>
      </c>
      <c r="I796" t="s">
        <v>177</v>
      </c>
      <c r="J796" t="s">
        <v>20</v>
      </c>
      <c r="K796">
        <v>7</v>
      </c>
      <c r="L796">
        <v>348598</v>
      </c>
      <c r="M796">
        <v>0</v>
      </c>
      <c r="N796" t="s">
        <v>137</v>
      </c>
      <c r="O796" t="s">
        <v>161</v>
      </c>
      <c r="P796" t="s">
        <v>139</v>
      </c>
      <c r="Q796" t="s">
        <v>1318</v>
      </c>
    </row>
    <row r="797" spans="1:17" x14ac:dyDescent="0.25">
      <c r="A797" t="s">
        <v>1283</v>
      </c>
      <c r="B797" t="s">
        <v>897</v>
      </c>
      <c r="C797" t="s">
        <v>456</v>
      </c>
      <c r="D797" s="8">
        <v>46033</v>
      </c>
      <c r="E797" t="s">
        <v>116</v>
      </c>
      <c r="F797" t="s">
        <v>34</v>
      </c>
      <c r="G797" t="s">
        <v>34</v>
      </c>
      <c r="H797" t="s">
        <v>1315</v>
      </c>
      <c r="I797" t="s">
        <v>39</v>
      </c>
      <c r="J797" t="s">
        <v>29</v>
      </c>
      <c r="K797">
        <v>1</v>
      </c>
      <c r="L797">
        <v>2496355</v>
      </c>
      <c r="M797">
        <v>0</v>
      </c>
      <c r="N797" t="s">
        <v>137</v>
      </c>
      <c r="O797" t="s">
        <v>149</v>
      </c>
      <c r="P797" t="s">
        <v>156</v>
      </c>
      <c r="Q797" t="s">
        <v>1318</v>
      </c>
    </row>
    <row r="798" spans="1:17" x14ac:dyDescent="0.25">
      <c r="A798" t="s">
        <v>1284</v>
      </c>
      <c r="B798" t="s">
        <v>580</v>
      </c>
      <c r="C798" t="s">
        <v>33</v>
      </c>
      <c r="D798" s="8">
        <v>46181</v>
      </c>
      <c r="E798" t="s">
        <v>113</v>
      </c>
      <c r="F798" t="s">
        <v>34</v>
      </c>
      <c r="G798" t="s">
        <v>34</v>
      </c>
      <c r="H798" t="s">
        <v>143</v>
      </c>
      <c r="I798" t="s">
        <v>177</v>
      </c>
      <c r="J798" t="s">
        <v>32</v>
      </c>
      <c r="K798">
        <v>3</v>
      </c>
      <c r="L798">
        <v>1238770</v>
      </c>
      <c r="M798">
        <v>50000</v>
      </c>
      <c r="N798" t="s">
        <v>148</v>
      </c>
      <c r="P798" t="s">
        <v>156</v>
      </c>
      <c r="Q798" t="s">
        <v>1321</v>
      </c>
    </row>
    <row r="799" spans="1:17" x14ac:dyDescent="0.25">
      <c r="A799" t="s">
        <v>1285</v>
      </c>
      <c r="B799" t="s">
        <v>179</v>
      </c>
      <c r="C799" t="s">
        <v>180</v>
      </c>
      <c r="D799" s="8">
        <v>46180</v>
      </c>
      <c r="E799" t="s">
        <v>113</v>
      </c>
      <c r="F799" t="s">
        <v>34</v>
      </c>
      <c r="G799" t="s">
        <v>34</v>
      </c>
      <c r="H799" t="s">
        <v>28</v>
      </c>
      <c r="I799" t="s">
        <v>173</v>
      </c>
      <c r="J799" t="s">
        <v>20</v>
      </c>
      <c r="K799">
        <v>1</v>
      </c>
      <c r="L799">
        <v>193151</v>
      </c>
      <c r="M799">
        <v>15000</v>
      </c>
      <c r="N799" t="s">
        <v>137</v>
      </c>
      <c r="O799" t="s">
        <v>138</v>
      </c>
      <c r="P799" t="s">
        <v>156</v>
      </c>
      <c r="Q799" t="s">
        <v>21</v>
      </c>
    </row>
    <row r="800" spans="1:17" x14ac:dyDescent="0.25">
      <c r="A800" t="s">
        <v>1286</v>
      </c>
      <c r="B800" t="s">
        <v>325</v>
      </c>
      <c r="C800" t="s">
        <v>284</v>
      </c>
      <c r="D800" s="8">
        <v>46127</v>
      </c>
      <c r="E800" t="s">
        <v>117</v>
      </c>
      <c r="F800" t="s">
        <v>18</v>
      </c>
      <c r="G800" t="s">
        <v>18</v>
      </c>
      <c r="H800" t="s">
        <v>1315</v>
      </c>
      <c r="I800" t="s">
        <v>173</v>
      </c>
      <c r="J800" t="s">
        <v>20</v>
      </c>
      <c r="K800">
        <v>4</v>
      </c>
      <c r="L800">
        <v>1046829</v>
      </c>
      <c r="M800">
        <v>15000</v>
      </c>
      <c r="N800" t="s">
        <v>137</v>
      </c>
      <c r="O800" t="s">
        <v>165</v>
      </c>
      <c r="P800" t="s">
        <v>156</v>
      </c>
      <c r="Q800" t="s">
        <v>21</v>
      </c>
    </row>
    <row r="801" spans="1:17" x14ac:dyDescent="0.25">
      <c r="A801" t="s">
        <v>1287</v>
      </c>
      <c r="B801" t="s">
        <v>761</v>
      </c>
      <c r="C801" t="s">
        <v>762</v>
      </c>
      <c r="D801" s="8">
        <v>46101</v>
      </c>
      <c r="E801" t="s">
        <v>115</v>
      </c>
      <c r="F801" t="s">
        <v>18</v>
      </c>
      <c r="G801" t="s">
        <v>18</v>
      </c>
      <c r="H801" t="s">
        <v>143</v>
      </c>
      <c r="I801" t="s">
        <v>173</v>
      </c>
      <c r="J801" t="s">
        <v>20</v>
      </c>
      <c r="K801">
        <v>7</v>
      </c>
      <c r="L801">
        <v>1945332</v>
      </c>
      <c r="M801">
        <v>50000</v>
      </c>
      <c r="N801" t="s">
        <v>137</v>
      </c>
      <c r="O801" t="s">
        <v>138</v>
      </c>
      <c r="P801" t="s">
        <v>139</v>
      </c>
      <c r="Q801" t="s">
        <v>21</v>
      </c>
    </row>
    <row r="802" spans="1:17" x14ac:dyDescent="0.25">
      <c r="A802" t="s">
        <v>1288</v>
      </c>
      <c r="B802" t="s">
        <v>582</v>
      </c>
      <c r="C802" t="s">
        <v>446</v>
      </c>
      <c r="D802" s="8">
        <v>46136</v>
      </c>
      <c r="E802" t="s">
        <v>117</v>
      </c>
      <c r="F802" t="s">
        <v>23</v>
      </c>
      <c r="G802" t="s">
        <v>23</v>
      </c>
      <c r="H802" t="s">
        <v>1315</v>
      </c>
      <c r="I802" t="s">
        <v>177</v>
      </c>
      <c r="J802" t="s">
        <v>32</v>
      </c>
      <c r="K802">
        <v>6</v>
      </c>
      <c r="L802">
        <v>1976095</v>
      </c>
      <c r="M802">
        <v>15000</v>
      </c>
      <c r="N802" t="s">
        <v>148</v>
      </c>
      <c r="O802" t="s">
        <v>149</v>
      </c>
      <c r="P802" t="s">
        <v>139</v>
      </c>
      <c r="Q802" t="s">
        <v>21</v>
      </c>
    </row>
    <row r="803" spans="1:17" x14ac:dyDescent="0.25">
      <c r="A803" t="s">
        <v>1289</v>
      </c>
      <c r="B803" t="s">
        <v>467</v>
      </c>
      <c r="C803" t="s">
        <v>198</v>
      </c>
      <c r="D803" s="8">
        <v>46157</v>
      </c>
      <c r="E803" t="s">
        <v>26</v>
      </c>
      <c r="F803" t="s">
        <v>31</v>
      </c>
      <c r="G803" t="s">
        <v>31</v>
      </c>
      <c r="H803" t="s">
        <v>143</v>
      </c>
      <c r="I803" t="s">
        <v>136</v>
      </c>
      <c r="J803" t="s">
        <v>29</v>
      </c>
      <c r="K803">
        <v>1</v>
      </c>
      <c r="M803">
        <v>25000</v>
      </c>
      <c r="N803" t="s">
        <v>214</v>
      </c>
      <c r="O803" t="s">
        <v>138</v>
      </c>
      <c r="P803" t="s">
        <v>156</v>
      </c>
      <c r="Q803" t="s">
        <v>1317</v>
      </c>
    </row>
    <row r="804" spans="1:17" x14ac:dyDescent="0.25">
      <c r="A804" t="s">
        <v>1290</v>
      </c>
      <c r="B804" t="s">
        <v>242</v>
      </c>
      <c r="C804" t="s">
        <v>176</v>
      </c>
      <c r="D804" s="8">
        <v>46201</v>
      </c>
      <c r="E804" t="s">
        <v>113</v>
      </c>
      <c r="F804" t="s">
        <v>34</v>
      </c>
      <c r="G804" t="s">
        <v>34</v>
      </c>
      <c r="H804" t="s">
        <v>28</v>
      </c>
      <c r="I804" t="s">
        <v>136</v>
      </c>
      <c r="J804" t="s">
        <v>29</v>
      </c>
      <c r="K804">
        <v>7</v>
      </c>
      <c r="L804">
        <v>1704038</v>
      </c>
      <c r="M804">
        <v>15000</v>
      </c>
      <c r="N804" t="s">
        <v>137</v>
      </c>
      <c r="O804" t="s">
        <v>161</v>
      </c>
      <c r="P804" t="s">
        <v>139</v>
      </c>
      <c r="Q804" t="s">
        <v>21</v>
      </c>
    </row>
    <row r="805" spans="1:17" x14ac:dyDescent="0.25">
      <c r="A805" t="s">
        <v>1291</v>
      </c>
      <c r="B805" t="s">
        <v>797</v>
      </c>
      <c r="C805" t="s">
        <v>240</v>
      </c>
      <c r="D805" s="8">
        <v>46082</v>
      </c>
      <c r="E805" t="s">
        <v>115</v>
      </c>
      <c r="F805" t="s">
        <v>23</v>
      </c>
      <c r="G805" t="s">
        <v>23</v>
      </c>
      <c r="H805" t="s">
        <v>28</v>
      </c>
      <c r="I805" t="s">
        <v>169</v>
      </c>
      <c r="J805" t="s">
        <v>20</v>
      </c>
      <c r="K805">
        <v>4</v>
      </c>
      <c r="L805">
        <v>1711503</v>
      </c>
      <c r="M805">
        <v>50000</v>
      </c>
      <c r="N805" t="s">
        <v>37</v>
      </c>
      <c r="O805" t="s">
        <v>165</v>
      </c>
      <c r="P805" t="s">
        <v>139</v>
      </c>
      <c r="Q805" t="s">
        <v>21</v>
      </c>
    </row>
    <row r="806" spans="1:17" x14ac:dyDescent="0.25">
      <c r="A806" t="s">
        <v>1292</v>
      </c>
      <c r="B806" t="s">
        <v>705</v>
      </c>
      <c r="C806" t="s">
        <v>502</v>
      </c>
      <c r="D806" s="8">
        <v>46111</v>
      </c>
      <c r="E806" t="s">
        <v>115</v>
      </c>
      <c r="F806" t="s">
        <v>31</v>
      </c>
      <c r="G806" t="s">
        <v>31</v>
      </c>
      <c r="H806" t="s">
        <v>160</v>
      </c>
      <c r="I806" t="s">
        <v>39</v>
      </c>
      <c r="J806" t="s">
        <v>25</v>
      </c>
      <c r="K806">
        <v>1</v>
      </c>
      <c r="L806">
        <v>1627938</v>
      </c>
      <c r="M806">
        <v>35000</v>
      </c>
      <c r="N806" t="s">
        <v>137</v>
      </c>
      <c r="O806" t="s">
        <v>138</v>
      </c>
      <c r="P806" t="s">
        <v>139</v>
      </c>
      <c r="Q806" t="s">
        <v>21</v>
      </c>
    </row>
    <row r="807" spans="1:17" x14ac:dyDescent="0.25">
      <c r="A807" t="s">
        <v>1293</v>
      </c>
      <c r="B807" t="s">
        <v>720</v>
      </c>
      <c r="C807" t="s">
        <v>33</v>
      </c>
      <c r="D807" s="8">
        <v>46091</v>
      </c>
      <c r="E807" t="s">
        <v>115</v>
      </c>
      <c r="F807" t="s">
        <v>27</v>
      </c>
      <c r="G807" t="s">
        <v>27</v>
      </c>
      <c r="H807" t="s">
        <v>143</v>
      </c>
      <c r="I807" t="s">
        <v>173</v>
      </c>
      <c r="J807" t="s">
        <v>32</v>
      </c>
      <c r="K807">
        <v>4</v>
      </c>
      <c r="L807">
        <v>1657609</v>
      </c>
      <c r="M807">
        <v>25000</v>
      </c>
      <c r="N807" t="s">
        <v>137</v>
      </c>
      <c r="O807" t="s">
        <v>161</v>
      </c>
      <c r="P807" t="s">
        <v>139</v>
      </c>
      <c r="Q807" t="s">
        <v>21</v>
      </c>
    </row>
    <row r="808" spans="1:17" x14ac:dyDescent="0.25">
      <c r="A808" t="s">
        <v>1294</v>
      </c>
      <c r="B808" t="s">
        <v>1193</v>
      </c>
      <c r="C808" t="s">
        <v>172</v>
      </c>
      <c r="D808" s="8">
        <v>46081</v>
      </c>
      <c r="E808" t="s">
        <v>114</v>
      </c>
      <c r="F808" t="s">
        <v>34</v>
      </c>
      <c r="G808" t="s">
        <v>34</v>
      </c>
      <c r="H808" t="s">
        <v>160</v>
      </c>
      <c r="I808" t="s">
        <v>147</v>
      </c>
      <c r="J808" t="s">
        <v>25</v>
      </c>
      <c r="K808">
        <v>1</v>
      </c>
      <c r="L808">
        <v>497372</v>
      </c>
      <c r="M808">
        <v>15000</v>
      </c>
      <c r="N808" t="s">
        <v>137</v>
      </c>
      <c r="O808" t="s">
        <v>138</v>
      </c>
      <c r="P808" t="s">
        <v>139</v>
      </c>
      <c r="Q808" t="s">
        <v>21</v>
      </c>
    </row>
    <row r="809" spans="1:17" x14ac:dyDescent="0.25">
      <c r="A809" t="s">
        <v>1295</v>
      </c>
      <c r="B809" t="s">
        <v>1296</v>
      </c>
      <c r="C809" t="s">
        <v>223</v>
      </c>
      <c r="D809" s="8">
        <v>46098</v>
      </c>
      <c r="E809" t="s">
        <v>115</v>
      </c>
      <c r="F809" t="s">
        <v>18</v>
      </c>
      <c r="G809" t="s">
        <v>18</v>
      </c>
      <c r="H809" t="s">
        <v>160</v>
      </c>
      <c r="I809" t="s">
        <v>177</v>
      </c>
      <c r="J809" t="s">
        <v>20</v>
      </c>
      <c r="K809">
        <v>3</v>
      </c>
      <c r="L809">
        <v>714056</v>
      </c>
      <c r="M809">
        <v>35000</v>
      </c>
      <c r="N809" t="s">
        <v>148</v>
      </c>
      <c r="O809" t="s">
        <v>165</v>
      </c>
      <c r="P809" t="s">
        <v>156</v>
      </c>
      <c r="Q809" t="s">
        <v>21</v>
      </c>
    </row>
    <row r="810" spans="1:17" x14ac:dyDescent="0.25">
      <c r="A810" t="s">
        <v>1297</v>
      </c>
      <c r="B810" t="s">
        <v>705</v>
      </c>
      <c r="C810" t="s">
        <v>502</v>
      </c>
      <c r="D810" s="8">
        <v>46190</v>
      </c>
      <c r="E810" t="s">
        <v>113</v>
      </c>
      <c r="F810" t="s">
        <v>18</v>
      </c>
      <c r="G810" t="s">
        <v>18</v>
      </c>
      <c r="H810" t="s">
        <v>143</v>
      </c>
      <c r="I810" t="s">
        <v>173</v>
      </c>
      <c r="J810" t="s">
        <v>29</v>
      </c>
      <c r="K810">
        <v>5</v>
      </c>
      <c r="L810">
        <v>857962</v>
      </c>
      <c r="M810">
        <v>25000</v>
      </c>
      <c r="N810" t="s">
        <v>137</v>
      </c>
      <c r="O810" t="s">
        <v>138</v>
      </c>
      <c r="P810" t="s">
        <v>156</v>
      </c>
      <c r="Q810" t="s">
        <v>21</v>
      </c>
    </row>
    <row r="811" spans="1:17" x14ac:dyDescent="0.25">
      <c r="A811" t="s">
        <v>1298</v>
      </c>
      <c r="B811" t="s">
        <v>313</v>
      </c>
      <c r="C811" t="s">
        <v>314</v>
      </c>
      <c r="D811" s="8">
        <v>46048</v>
      </c>
      <c r="E811" t="s">
        <v>116</v>
      </c>
      <c r="F811" t="s">
        <v>34</v>
      </c>
      <c r="G811" t="s">
        <v>34</v>
      </c>
      <c r="H811" t="s">
        <v>143</v>
      </c>
      <c r="I811" t="s">
        <v>177</v>
      </c>
      <c r="J811" t="s">
        <v>35</v>
      </c>
      <c r="K811">
        <v>5</v>
      </c>
      <c r="L811">
        <v>1248452</v>
      </c>
      <c r="M811">
        <v>15000</v>
      </c>
      <c r="N811" t="s">
        <v>137</v>
      </c>
      <c r="O811" t="s">
        <v>138</v>
      </c>
      <c r="P811" t="s">
        <v>156</v>
      </c>
      <c r="Q811" t="s">
        <v>21</v>
      </c>
    </row>
    <row r="812" spans="1:17" x14ac:dyDescent="0.25">
      <c r="A812" t="s">
        <v>1299</v>
      </c>
      <c r="B812" t="s">
        <v>736</v>
      </c>
      <c r="C812" t="s">
        <v>195</v>
      </c>
      <c r="D812" s="8">
        <v>46025</v>
      </c>
      <c r="E812" t="s">
        <v>116</v>
      </c>
      <c r="F812" t="s">
        <v>27</v>
      </c>
      <c r="G812" t="s">
        <v>27</v>
      </c>
      <c r="H812" t="s">
        <v>160</v>
      </c>
      <c r="I812" t="s">
        <v>39</v>
      </c>
      <c r="J812" t="s">
        <v>29</v>
      </c>
      <c r="K812">
        <v>7</v>
      </c>
      <c r="L812">
        <v>1485153</v>
      </c>
      <c r="M812">
        <v>15000</v>
      </c>
      <c r="N812" t="s">
        <v>137</v>
      </c>
      <c r="O812" t="s">
        <v>165</v>
      </c>
      <c r="P812" t="s">
        <v>156</v>
      </c>
      <c r="Q812" t="s">
        <v>21</v>
      </c>
    </row>
    <row r="813" spans="1:17" x14ac:dyDescent="0.25">
      <c r="A813" t="s">
        <v>1300</v>
      </c>
      <c r="B813" t="s">
        <v>1193</v>
      </c>
      <c r="C813" t="s">
        <v>172</v>
      </c>
      <c r="D813" s="8">
        <v>46143</v>
      </c>
      <c r="E813" t="s">
        <v>26</v>
      </c>
      <c r="F813" t="s">
        <v>34</v>
      </c>
      <c r="G813" t="s">
        <v>34</v>
      </c>
      <c r="H813" t="s">
        <v>28</v>
      </c>
      <c r="I813" t="s">
        <v>177</v>
      </c>
      <c r="J813" t="s">
        <v>32</v>
      </c>
      <c r="K813">
        <v>2</v>
      </c>
      <c r="L813">
        <v>773931</v>
      </c>
      <c r="M813">
        <v>15000</v>
      </c>
      <c r="N813" t="s">
        <v>148</v>
      </c>
      <c r="O813" t="s">
        <v>165</v>
      </c>
      <c r="P813" t="s">
        <v>156</v>
      </c>
      <c r="Q813" t="s">
        <v>21</v>
      </c>
    </row>
    <row r="814" spans="1:17" x14ac:dyDescent="0.25">
      <c r="A814" t="s">
        <v>1301</v>
      </c>
      <c r="B814" t="s">
        <v>743</v>
      </c>
      <c r="C814" t="s">
        <v>164</v>
      </c>
      <c r="D814" s="8">
        <v>46051</v>
      </c>
      <c r="E814" t="s">
        <v>116</v>
      </c>
      <c r="F814" t="s">
        <v>31</v>
      </c>
      <c r="G814" t="s">
        <v>31</v>
      </c>
      <c r="H814" t="s">
        <v>143</v>
      </c>
      <c r="I814" t="s">
        <v>173</v>
      </c>
      <c r="J814" t="s">
        <v>25</v>
      </c>
      <c r="K814">
        <v>6</v>
      </c>
      <c r="L814">
        <v>1161088</v>
      </c>
      <c r="M814">
        <v>15000</v>
      </c>
      <c r="N814" t="s">
        <v>137</v>
      </c>
      <c r="O814" t="s">
        <v>161</v>
      </c>
      <c r="P814" t="s">
        <v>139</v>
      </c>
      <c r="Q814" t="s">
        <v>21</v>
      </c>
    </row>
    <row r="815" spans="1:17" x14ac:dyDescent="0.25">
      <c r="A815" t="s">
        <v>1302</v>
      </c>
      <c r="B815" t="s">
        <v>640</v>
      </c>
      <c r="C815" t="s">
        <v>198</v>
      </c>
      <c r="D815" s="8">
        <v>46148</v>
      </c>
      <c r="E815" t="s">
        <v>26</v>
      </c>
      <c r="F815" t="s">
        <v>31</v>
      </c>
      <c r="G815" t="s">
        <v>31</v>
      </c>
      <c r="H815" t="s">
        <v>1315</v>
      </c>
      <c r="I815" t="s">
        <v>147</v>
      </c>
      <c r="J815" t="s">
        <v>35</v>
      </c>
      <c r="K815">
        <v>5</v>
      </c>
      <c r="L815">
        <v>1776821</v>
      </c>
      <c r="M815">
        <v>50000</v>
      </c>
      <c r="N815" t="s">
        <v>137</v>
      </c>
      <c r="O815" t="s">
        <v>165</v>
      </c>
      <c r="P815" t="s">
        <v>139</v>
      </c>
      <c r="Q815" t="s">
        <v>21</v>
      </c>
    </row>
    <row r="816" spans="1:17" x14ac:dyDescent="0.25">
      <c r="A816" t="s">
        <v>1303</v>
      </c>
      <c r="B816" t="s">
        <v>605</v>
      </c>
      <c r="C816" t="s">
        <v>314</v>
      </c>
      <c r="D816" s="8">
        <v>46087</v>
      </c>
      <c r="E816" t="s">
        <v>115</v>
      </c>
      <c r="F816" t="s">
        <v>23</v>
      </c>
      <c r="G816" t="s">
        <v>23</v>
      </c>
      <c r="H816" t="s">
        <v>143</v>
      </c>
      <c r="I816" t="s">
        <v>173</v>
      </c>
      <c r="J816" t="s">
        <v>35</v>
      </c>
      <c r="K816">
        <v>2</v>
      </c>
      <c r="L816">
        <v>2315594</v>
      </c>
      <c r="M816">
        <v>35000</v>
      </c>
      <c r="N816" t="s">
        <v>137</v>
      </c>
      <c r="O816" t="s">
        <v>138</v>
      </c>
      <c r="P816" t="s">
        <v>139</v>
      </c>
      <c r="Q816" t="s">
        <v>21</v>
      </c>
    </row>
    <row r="817" spans="1:17" x14ac:dyDescent="0.25">
      <c r="A817" t="s">
        <v>1304</v>
      </c>
      <c r="B817" t="s">
        <v>455</v>
      </c>
      <c r="C817" t="s">
        <v>456</v>
      </c>
      <c r="D817" s="8">
        <v>46099</v>
      </c>
      <c r="E817" t="s">
        <v>115</v>
      </c>
      <c r="F817" t="s">
        <v>23</v>
      </c>
      <c r="G817" t="s">
        <v>23</v>
      </c>
      <c r="H817" t="s">
        <v>1315</v>
      </c>
      <c r="I817" t="s">
        <v>39</v>
      </c>
      <c r="J817" t="s">
        <v>29</v>
      </c>
      <c r="K817">
        <v>4</v>
      </c>
      <c r="L817">
        <v>604593</v>
      </c>
      <c r="M817">
        <v>50000</v>
      </c>
      <c r="N817" t="s">
        <v>137</v>
      </c>
      <c r="O817" t="s">
        <v>161</v>
      </c>
      <c r="P817" t="s">
        <v>156</v>
      </c>
      <c r="Q817" t="s">
        <v>21</v>
      </c>
    </row>
    <row r="818" spans="1:17" x14ac:dyDescent="0.25">
      <c r="A818" t="s">
        <v>1305</v>
      </c>
      <c r="B818" t="s">
        <v>248</v>
      </c>
      <c r="C818" t="s">
        <v>226</v>
      </c>
      <c r="D818" s="8">
        <v>46134</v>
      </c>
      <c r="E818" t="s">
        <v>117</v>
      </c>
      <c r="F818" t="s">
        <v>118</v>
      </c>
      <c r="G818" t="s">
        <v>18</v>
      </c>
      <c r="H818" t="s">
        <v>1315</v>
      </c>
      <c r="I818" t="s">
        <v>39</v>
      </c>
      <c r="J818" t="s">
        <v>29</v>
      </c>
      <c r="K818">
        <v>7</v>
      </c>
      <c r="L818">
        <v>737276</v>
      </c>
      <c r="M818">
        <v>35000</v>
      </c>
      <c r="N818" t="s">
        <v>137</v>
      </c>
      <c r="O818" t="s">
        <v>138</v>
      </c>
      <c r="P818" t="s">
        <v>156</v>
      </c>
      <c r="Q818" t="s">
        <v>21</v>
      </c>
    </row>
    <row r="819" spans="1:17" x14ac:dyDescent="0.25">
      <c r="A819" t="s">
        <v>1306</v>
      </c>
      <c r="B819" t="s">
        <v>494</v>
      </c>
      <c r="C819" t="s">
        <v>495</v>
      </c>
      <c r="D819" s="8">
        <v>46081</v>
      </c>
      <c r="E819" t="s">
        <v>114</v>
      </c>
      <c r="F819" t="s">
        <v>34</v>
      </c>
      <c r="G819" t="s">
        <v>34</v>
      </c>
      <c r="H819" t="s">
        <v>143</v>
      </c>
      <c r="I819" t="s">
        <v>39</v>
      </c>
      <c r="J819" t="s">
        <v>29</v>
      </c>
      <c r="K819">
        <v>4</v>
      </c>
      <c r="L819" t="s">
        <v>1307</v>
      </c>
      <c r="M819">
        <v>25000</v>
      </c>
      <c r="N819" t="s">
        <v>137</v>
      </c>
      <c r="O819" t="s">
        <v>138</v>
      </c>
      <c r="P819" t="s">
        <v>139</v>
      </c>
      <c r="Q819" t="s">
        <v>21</v>
      </c>
    </row>
    <row r="820" spans="1:17" x14ac:dyDescent="0.25">
      <c r="A820" t="s">
        <v>1308</v>
      </c>
      <c r="B820" t="s">
        <v>368</v>
      </c>
      <c r="C820" t="s">
        <v>36</v>
      </c>
      <c r="D820" s="8">
        <v>46085</v>
      </c>
      <c r="E820" t="s">
        <v>115</v>
      </c>
      <c r="F820" t="s">
        <v>31</v>
      </c>
      <c r="G820" t="s">
        <v>31</v>
      </c>
      <c r="H820" t="s">
        <v>28</v>
      </c>
      <c r="I820" t="s">
        <v>173</v>
      </c>
      <c r="J820" t="s">
        <v>35</v>
      </c>
      <c r="K820">
        <v>3</v>
      </c>
      <c r="L820">
        <v>730428</v>
      </c>
      <c r="M820">
        <v>0</v>
      </c>
      <c r="N820" t="s">
        <v>137</v>
      </c>
      <c r="O820" t="s">
        <v>138</v>
      </c>
      <c r="P820" t="s">
        <v>139</v>
      </c>
      <c r="Q820" t="s">
        <v>1318</v>
      </c>
    </row>
    <row r="821" spans="1:17" x14ac:dyDescent="0.25">
      <c r="A821" t="s">
        <v>1309</v>
      </c>
      <c r="B821" t="s">
        <v>678</v>
      </c>
      <c r="C821" t="s">
        <v>679</v>
      </c>
      <c r="D821" s="8">
        <v>46154</v>
      </c>
      <c r="E821" t="s">
        <v>26</v>
      </c>
      <c r="F821" t="s">
        <v>31</v>
      </c>
      <c r="G821" t="s">
        <v>31</v>
      </c>
      <c r="H821" t="s">
        <v>160</v>
      </c>
      <c r="I821" t="s">
        <v>136</v>
      </c>
      <c r="J821" t="s">
        <v>25</v>
      </c>
      <c r="K821">
        <v>1</v>
      </c>
      <c r="L821">
        <v>2433606</v>
      </c>
      <c r="M821">
        <v>35000</v>
      </c>
      <c r="N821" t="s">
        <v>43</v>
      </c>
      <c r="O821" t="s">
        <v>165</v>
      </c>
      <c r="P821" t="s">
        <v>156</v>
      </c>
      <c r="Q821" t="s">
        <v>21</v>
      </c>
    </row>
    <row r="822" spans="1:17" x14ac:dyDescent="0.25">
      <c r="A822" t="s">
        <v>1310</v>
      </c>
      <c r="B822" t="s">
        <v>296</v>
      </c>
      <c r="C822" t="s">
        <v>297</v>
      </c>
      <c r="D822" s="8">
        <v>46152</v>
      </c>
      <c r="E822" t="s">
        <v>26</v>
      </c>
      <c r="F822" t="s">
        <v>34</v>
      </c>
      <c r="G822" t="s">
        <v>34</v>
      </c>
      <c r="H822" t="s">
        <v>160</v>
      </c>
      <c r="I822" t="s">
        <v>173</v>
      </c>
      <c r="J822" t="s">
        <v>35</v>
      </c>
      <c r="K822">
        <v>1</v>
      </c>
      <c r="L822">
        <v>816025</v>
      </c>
      <c r="M822">
        <v>0</v>
      </c>
      <c r="N822" t="s">
        <v>137</v>
      </c>
      <c r="O822" t="s">
        <v>138</v>
      </c>
      <c r="P822" t="s">
        <v>156</v>
      </c>
      <c r="Q822" t="s">
        <v>1318</v>
      </c>
    </row>
    <row r="823" spans="1:17" x14ac:dyDescent="0.25">
      <c r="A823" t="s">
        <v>1311</v>
      </c>
      <c r="B823" t="s">
        <v>434</v>
      </c>
      <c r="C823" t="s">
        <v>435</v>
      </c>
      <c r="D823" s="8">
        <v>46156</v>
      </c>
      <c r="E823" t="s">
        <v>26</v>
      </c>
      <c r="F823" t="s">
        <v>31</v>
      </c>
      <c r="G823" t="s">
        <v>31</v>
      </c>
      <c r="H823" t="s">
        <v>1315</v>
      </c>
      <c r="I823" t="s">
        <v>147</v>
      </c>
      <c r="J823" t="s">
        <v>25</v>
      </c>
      <c r="K823">
        <v>4</v>
      </c>
      <c r="L823">
        <v>1677204</v>
      </c>
      <c r="M823">
        <v>0</v>
      </c>
      <c r="N823" t="s">
        <v>137</v>
      </c>
      <c r="O823" t="s">
        <v>165</v>
      </c>
      <c r="P823" t="s">
        <v>139</v>
      </c>
      <c r="Q823" t="s">
        <v>1318</v>
      </c>
    </row>
    <row r="824" spans="1:17" x14ac:dyDescent="0.25">
      <c r="A824" t="s">
        <v>1312</v>
      </c>
      <c r="B824" t="s">
        <v>569</v>
      </c>
      <c r="C824" t="s">
        <v>526</v>
      </c>
      <c r="D824" s="8">
        <v>46036</v>
      </c>
      <c r="E824" t="s">
        <v>116</v>
      </c>
      <c r="F824" t="s">
        <v>27</v>
      </c>
      <c r="G824" t="s">
        <v>27</v>
      </c>
      <c r="H824" t="s">
        <v>160</v>
      </c>
      <c r="I824" t="s">
        <v>169</v>
      </c>
      <c r="J824" t="s">
        <v>35</v>
      </c>
      <c r="K824">
        <v>1</v>
      </c>
      <c r="L824">
        <v>2288444</v>
      </c>
      <c r="M824">
        <v>50000</v>
      </c>
      <c r="N824" t="s">
        <v>148</v>
      </c>
      <c r="O824" t="s">
        <v>165</v>
      </c>
      <c r="P824" t="s">
        <v>156</v>
      </c>
      <c r="Q824" t="s">
        <v>21</v>
      </c>
    </row>
    <row r="825" spans="1:17" x14ac:dyDescent="0.25">
      <c r="A825" t="s">
        <v>1313</v>
      </c>
      <c r="B825" t="s">
        <v>681</v>
      </c>
      <c r="C825" t="s">
        <v>317</v>
      </c>
      <c r="D825" s="8">
        <v>46119</v>
      </c>
      <c r="E825" t="s">
        <v>117</v>
      </c>
      <c r="F825" t="s">
        <v>18</v>
      </c>
      <c r="G825" t="s">
        <v>18</v>
      </c>
      <c r="H825" t="s">
        <v>143</v>
      </c>
      <c r="I825" t="s">
        <v>173</v>
      </c>
      <c r="J825" t="s">
        <v>35</v>
      </c>
      <c r="K825">
        <v>6</v>
      </c>
      <c r="L825">
        <v>1504758</v>
      </c>
      <c r="M825">
        <v>35000</v>
      </c>
      <c r="N825" t="s">
        <v>137</v>
      </c>
      <c r="O825" t="s">
        <v>161</v>
      </c>
      <c r="P825" t="s">
        <v>139</v>
      </c>
      <c r="Q825" t="s">
        <v>21</v>
      </c>
    </row>
    <row r="826" spans="1:17" x14ac:dyDescent="0.25">
      <c r="A826" t="s">
        <v>1314</v>
      </c>
      <c r="B826" t="s">
        <v>182</v>
      </c>
      <c r="C826" t="s">
        <v>183</v>
      </c>
      <c r="D826" s="8">
        <v>46123</v>
      </c>
      <c r="E826" t="s">
        <v>117</v>
      </c>
      <c r="F826" t="s">
        <v>18</v>
      </c>
      <c r="G826" t="s">
        <v>18</v>
      </c>
      <c r="H826" t="s">
        <v>28</v>
      </c>
      <c r="I826" t="s">
        <v>147</v>
      </c>
      <c r="J826" t="s">
        <v>29</v>
      </c>
      <c r="K826">
        <v>1</v>
      </c>
      <c r="L826">
        <v>1043743</v>
      </c>
      <c r="M826">
        <v>0</v>
      </c>
      <c r="N826" t="s">
        <v>137</v>
      </c>
      <c r="O826" t="s">
        <v>149</v>
      </c>
      <c r="P826" t="s">
        <v>139</v>
      </c>
      <c r="Q826" t="s">
        <v>1318</v>
      </c>
    </row>
    <row r="827" spans="1:17" x14ac:dyDescent="0.25">
      <c r="A827" t="s">
        <v>234</v>
      </c>
      <c r="B827" t="s">
        <v>235</v>
      </c>
      <c r="C827" t="s">
        <v>142</v>
      </c>
      <c r="D827" s="8">
        <v>46093</v>
      </c>
      <c r="E827" t="s">
        <v>115</v>
      </c>
      <c r="F827" t="s">
        <v>27</v>
      </c>
      <c r="G827" t="s">
        <v>27</v>
      </c>
      <c r="H827" t="s">
        <v>28</v>
      </c>
      <c r="I827" t="s">
        <v>136</v>
      </c>
      <c r="J827" t="s">
        <v>32</v>
      </c>
      <c r="K827">
        <v>5</v>
      </c>
      <c r="L827">
        <v>2188002</v>
      </c>
      <c r="M827">
        <v>0</v>
      </c>
      <c r="N827" t="s">
        <v>137</v>
      </c>
      <c r="O827" t="s">
        <v>138</v>
      </c>
      <c r="P827" t="s">
        <v>156</v>
      </c>
      <c r="Q827" t="s">
        <v>1322</v>
      </c>
    </row>
    <row r="828" spans="1:17" x14ac:dyDescent="0.25">
      <c r="A828" t="s">
        <v>573</v>
      </c>
      <c r="B828" t="s">
        <v>455</v>
      </c>
      <c r="C828" t="s">
        <v>456</v>
      </c>
      <c r="D828" s="8">
        <v>46064</v>
      </c>
      <c r="E828" t="s">
        <v>114</v>
      </c>
      <c r="F828" t="s">
        <v>27</v>
      </c>
      <c r="G828" t="s">
        <v>27</v>
      </c>
      <c r="H828" t="s">
        <v>28</v>
      </c>
      <c r="I828" t="s">
        <v>177</v>
      </c>
      <c r="J828" t="s">
        <v>20</v>
      </c>
      <c r="K828">
        <v>5</v>
      </c>
      <c r="L828">
        <v>835502</v>
      </c>
      <c r="M828">
        <v>0</v>
      </c>
      <c r="N828" t="s">
        <v>137</v>
      </c>
      <c r="O828" t="s">
        <v>161</v>
      </c>
      <c r="P828" t="s">
        <v>156</v>
      </c>
      <c r="Q828" t="s">
        <v>1322</v>
      </c>
    </row>
    <row r="829" spans="1:17" x14ac:dyDescent="0.25">
      <c r="A829" t="s">
        <v>825</v>
      </c>
      <c r="B829" t="s">
        <v>134</v>
      </c>
      <c r="C829" t="s">
        <v>135</v>
      </c>
      <c r="D829" s="8">
        <v>46163</v>
      </c>
      <c r="E829" t="s">
        <v>26</v>
      </c>
      <c r="F829" t="s">
        <v>31</v>
      </c>
      <c r="G829" t="s">
        <v>31</v>
      </c>
      <c r="H829" t="s">
        <v>1315</v>
      </c>
      <c r="I829" t="s">
        <v>173</v>
      </c>
      <c r="J829" t="s">
        <v>32</v>
      </c>
      <c r="K829">
        <v>4</v>
      </c>
      <c r="L829">
        <v>472601</v>
      </c>
      <c r="M829">
        <v>25000</v>
      </c>
      <c r="N829" t="s">
        <v>137</v>
      </c>
      <c r="O829" t="s">
        <v>138</v>
      </c>
      <c r="P829" t="s">
        <v>139</v>
      </c>
      <c r="Q829" t="s">
        <v>45</v>
      </c>
    </row>
    <row r="830" spans="1:17" x14ac:dyDescent="0.25">
      <c r="A830" t="s">
        <v>1019</v>
      </c>
      <c r="B830" t="s">
        <v>289</v>
      </c>
      <c r="C830" t="s">
        <v>146</v>
      </c>
      <c r="D830" s="8">
        <v>46134</v>
      </c>
      <c r="E830" t="s">
        <v>117</v>
      </c>
      <c r="F830" t="s">
        <v>31</v>
      </c>
      <c r="G830" t="s">
        <v>31</v>
      </c>
      <c r="H830" t="s">
        <v>143</v>
      </c>
      <c r="I830" t="s">
        <v>169</v>
      </c>
      <c r="J830" t="s">
        <v>25</v>
      </c>
      <c r="K830">
        <v>3</v>
      </c>
      <c r="L830">
        <v>1272539</v>
      </c>
      <c r="M830">
        <v>15000</v>
      </c>
      <c r="N830" t="s">
        <v>137</v>
      </c>
      <c r="O830" t="s">
        <v>161</v>
      </c>
      <c r="P830" t="s">
        <v>139</v>
      </c>
      <c r="Q830" t="s">
        <v>45</v>
      </c>
    </row>
    <row r="831" spans="1:17" x14ac:dyDescent="0.25">
      <c r="A831" t="s">
        <v>1194</v>
      </c>
      <c r="B831" t="s">
        <v>311</v>
      </c>
      <c r="C831" t="s">
        <v>272</v>
      </c>
      <c r="D831" s="8">
        <v>46196</v>
      </c>
      <c r="E831" t="s">
        <v>113</v>
      </c>
      <c r="F831" t="s">
        <v>18</v>
      </c>
      <c r="G831" t="s">
        <v>18</v>
      </c>
      <c r="H831" t="s">
        <v>1315</v>
      </c>
      <c r="I831" t="s">
        <v>177</v>
      </c>
      <c r="J831" t="s">
        <v>35</v>
      </c>
      <c r="K831">
        <v>2</v>
      </c>
      <c r="L831">
        <v>376969</v>
      </c>
      <c r="M831">
        <v>35000</v>
      </c>
      <c r="N831" t="s">
        <v>137</v>
      </c>
      <c r="O831" t="s">
        <v>161</v>
      </c>
      <c r="P831" t="s">
        <v>156</v>
      </c>
      <c r="Q831" t="s">
        <v>45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>
      <selection activeCell="H11" sqref="H11"/>
    </sheetView>
  </sheetViews>
  <sheetFormatPr defaultColWidth="8.85546875" defaultRowHeight="15" x14ac:dyDescent="0.25"/>
  <cols>
    <col min="1" max="1" width="20" customWidth="1"/>
    <col min="2" max="3" width="16" customWidth="1"/>
    <col min="4" max="4" width="12" customWidth="1"/>
    <col min="6" max="6" width="18" customWidth="1"/>
    <col min="7" max="8" width="16" customWidth="1"/>
    <col min="9" max="9" width="12" customWidth="1"/>
  </cols>
  <sheetData>
    <row r="1" spans="1:7" ht="30" customHeight="1" x14ac:dyDescent="0.25">
      <c r="A1" s="24" t="s">
        <v>46</v>
      </c>
      <c r="B1" s="20"/>
      <c r="C1" s="20"/>
      <c r="D1" s="20"/>
      <c r="E1" s="20"/>
      <c r="F1" s="20"/>
      <c r="G1" s="20"/>
    </row>
    <row r="2" spans="1:7" x14ac:dyDescent="0.25">
      <c r="A2" s="19" t="s">
        <v>47</v>
      </c>
      <c r="B2" s="20"/>
      <c r="C2" s="20"/>
      <c r="D2" s="20"/>
      <c r="E2" s="20"/>
      <c r="F2" s="20"/>
      <c r="G2" s="20"/>
    </row>
    <row r="5" spans="1:7" x14ac:dyDescent="0.25">
      <c r="A5" s="1" t="s">
        <v>48</v>
      </c>
      <c r="B5" s="1" t="s">
        <v>49</v>
      </c>
      <c r="C5" s="25" t="s">
        <v>50</v>
      </c>
      <c r="D5" s="25"/>
      <c r="E5" s="25"/>
    </row>
    <row r="6" spans="1:7" x14ac:dyDescent="0.25">
      <c r="A6" s="12" t="s">
        <v>1418</v>
      </c>
      <c r="B6" s="17">
        <f>SUMIFS(Sheet2[Order Value], Sheet2[Quality Check], "Clean")</f>
        <v>741142593</v>
      </c>
      <c r="C6" s="23" t="s">
        <v>1419</v>
      </c>
      <c r="D6" s="23"/>
      <c r="E6" s="23"/>
      <c r="F6" s="5"/>
    </row>
    <row r="7" spans="1:7" x14ac:dyDescent="0.25">
      <c r="A7" s="12" t="s">
        <v>52</v>
      </c>
      <c r="B7" s="17"/>
      <c r="C7" s="23" t="s">
        <v>53</v>
      </c>
      <c r="D7" s="23"/>
      <c r="E7" s="23"/>
      <c r="F7" s="5"/>
    </row>
    <row r="8" spans="1:7" x14ac:dyDescent="0.25">
      <c r="A8" s="12" t="s">
        <v>54</v>
      </c>
      <c r="B8" s="11">
        <f>COUNTIF(Sheet2[Quality Check], "Clean")</f>
        <v>600</v>
      </c>
      <c r="C8" s="23" t="s">
        <v>55</v>
      </c>
      <c r="D8" s="23"/>
      <c r="E8" s="23"/>
    </row>
    <row r="9" spans="1:7" x14ac:dyDescent="0.25">
      <c r="A9" s="12" t="s">
        <v>56</v>
      </c>
      <c r="B9" s="11">
        <f>IFERROR(B6/B8, 0)</f>
        <v>1235237.655</v>
      </c>
      <c r="C9" s="23" t="s">
        <v>57</v>
      </c>
      <c r="D9" s="23"/>
      <c r="E9" s="23"/>
      <c r="F9" s="5"/>
      <c r="G9" s="5"/>
    </row>
    <row r="10" spans="1:7" x14ac:dyDescent="0.25">
      <c r="A10" s="12" t="s">
        <v>58</v>
      </c>
      <c r="B10" s="18"/>
      <c r="C10" s="23" t="s">
        <v>59</v>
      </c>
      <c r="D10" s="23"/>
      <c r="E10" s="23"/>
    </row>
    <row r="11" spans="1:7" x14ac:dyDescent="0.25">
      <c r="A11" s="12" t="s">
        <v>60</v>
      </c>
      <c r="B11" s="11">
        <f>COUNTA(Sheet2[Transaction ID])-B8</f>
        <v>225</v>
      </c>
      <c r="C11" s="23" t="s">
        <v>61</v>
      </c>
      <c r="D11" s="23"/>
      <c r="E11" s="23"/>
    </row>
    <row r="14" spans="1:7" x14ac:dyDescent="0.25">
      <c r="A14" s="1" t="s">
        <v>13</v>
      </c>
      <c r="B14" s="14" t="s">
        <v>128</v>
      </c>
      <c r="C14" s="1" t="s">
        <v>62</v>
      </c>
      <c r="E14" s="1" t="s">
        <v>11</v>
      </c>
      <c r="F14" s="14" t="s">
        <v>128</v>
      </c>
      <c r="G14" s="1" t="s">
        <v>62</v>
      </c>
    </row>
    <row r="15" spans="1:7" x14ac:dyDescent="0.25">
      <c r="A15" s="2" t="s">
        <v>29</v>
      </c>
      <c r="B15" s="11">
        <v>147364783</v>
      </c>
      <c r="C15" s="2">
        <v>121</v>
      </c>
      <c r="E15" s="2" t="s">
        <v>18</v>
      </c>
      <c r="F15" s="11">
        <v>160665707</v>
      </c>
      <c r="G15" s="2">
        <v>133</v>
      </c>
    </row>
    <row r="16" spans="1:7" x14ac:dyDescent="0.25">
      <c r="A16" s="2" t="s">
        <v>20</v>
      </c>
      <c r="B16" s="11">
        <v>145524277</v>
      </c>
      <c r="C16" s="2">
        <v>118</v>
      </c>
      <c r="E16" s="2" t="s">
        <v>23</v>
      </c>
      <c r="F16" s="11">
        <v>149742102</v>
      </c>
      <c r="G16" s="2">
        <v>118</v>
      </c>
    </row>
    <row r="17" spans="1:9" x14ac:dyDescent="0.25">
      <c r="A17" s="2" t="s">
        <v>25</v>
      </c>
      <c r="B17" s="11">
        <v>159686537</v>
      </c>
      <c r="C17" s="2">
        <v>122</v>
      </c>
      <c r="E17" s="2" t="s">
        <v>27</v>
      </c>
      <c r="F17" s="11">
        <v>131942297</v>
      </c>
      <c r="G17" s="2">
        <v>99</v>
      </c>
    </row>
    <row r="18" spans="1:9" x14ac:dyDescent="0.25">
      <c r="A18" s="2" t="s">
        <v>35</v>
      </c>
      <c r="B18" s="4">
        <v>140391552</v>
      </c>
      <c r="C18" s="2">
        <v>113</v>
      </c>
      <c r="E18" s="2" t="s">
        <v>31</v>
      </c>
      <c r="F18" s="11">
        <v>161830148</v>
      </c>
      <c r="G18" s="2">
        <v>143</v>
      </c>
    </row>
    <row r="19" spans="1:9" x14ac:dyDescent="0.25">
      <c r="A19" s="2" t="s">
        <v>32</v>
      </c>
      <c r="B19" s="4">
        <v>148175444</v>
      </c>
      <c r="C19" s="2">
        <v>126</v>
      </c>
      <c r="E19" s="2" t="s">
        <v>34</v>
      </c>
      <c r="F19" s="11">
        <v>136962339</v>
      </c>
      <c r="G19" s="2">
        <v>107</v>
      </c>
    </row>
    <row r="20" spans="1:9" x14ac:dyDescent="0.25">
      <c r="B20" s="5"/>
      <c r="C20" s="5"/>
      <c r="G20" s="5"/>
      <c r="H20" s="5"/>
    </row>
    <row r="21" spans="1:9" x14ac:dyDescent="0.25">
      <c r="B21" s="5"/>
      <c r="C21" s="5"/>
      <c r="G21" s="5"/>
      <c r="H21" s="5"/>
    </row>
    <row r="22" spans="1:9" x14ac:dyDescent="0.25">
      <c r="B22" s="5"/>
      <c r="C22" s="5"/>
      <c r="G22" s="5"/>
      <c r="H22" s="5"/>
    </row>
    <row r="23" spans="1:9" x14ac:dyDescent="0.25">
      <c r="B23" s="5"/>
      <c r="C23" s="5"/>
      <c r="G23" s="5"/>
      <c r="H23" s="5"/>
    </row>
    <row r="24" spans="1:9" x14ac:dyDescent="0.25">
      <c r="B24" s="5"/>
      <c r="C24" s="5"/>
      <c r="G24" s="5"/>
      <c r="H24" s="5"/>
    </row>
    <row r="25" spans="1:9" x14ac:dyDescent="0.25">
      <c r="B25" s="5"/>
      <c r="C25" s="5"/>
      <c r="G25" s="5"/>
      <c r="H25" s="5"/>
    </row>
    <row r="26" spans="1:9" x14ac:dyDescent="0.25">
      <c r="B26" s="5"/>
      <c r="C26" s="5"/>
      <c r="G26" s="5"/>
      <c r="H26" s="5"/>
    </row>
    <row r="27" spans="1:9" x14ac:dyDescent="0.25">
      <c r="A27" s="1" t="s">
        <v>9</v>
      </c>
      <c r="B27" s="6" t="s">
        <v>14</v>
      </c>
      <c r="C27" s="6" t="s">
        <v>15</v>
      </c>
      <c r="D27" s="1" t="s">
        <v>62</v>
      </c>
      <c r="F27" s="1" t="s">
        <v>12</v>
      </c>
      <c r="G27" s="6" t="s">
        <v>14</v>
      </c>
      <c r="H27" s="6" t="s">
        <v>15</v>
      </c>
      <c r="I27" s="1" t="s">
        <v>62</v>
      </c>
    </row>
    <row r="28" spans="1:9" x14ac:dyDescent="0.25">
      <c r="A28" s="2" t="s">
        <v>42</v>
      </c>
      <c r="B28" s="4">
        <v>235336050</v>
      </c>
      <c r="C28" s="4">
        <v>69536050</v>
      </c>
      <c r="D28" s="2">
        <v>104</v>
      </c>
      <c r="F28" s="2" t="s">
        <v>28</v>
      </c>
      <c r="G28" s="4">
        <v>387099550</v>
      </c>
      <c r="H28" s="4">
        <v>111912550</v>
      </c>
      <c r="I28" s="2">
        <v>146</v>
      </c>
    </row>
    <row r="29" spans="1:9" x14ac:dyDescent="0.25">
      <c r="A29" s="2" t="s">
        <v>44</v>
      </c>
      <c r="B29" s="4">
        <v>495000</v>
      </c>
      <c r="C29" s="4">
        <v>185000</v>
      </c>
      <c r="D29" s="2">
        <v>1</v>
      </c>
      <c r="F29" s="2" t="s">
        <v>39</v>
      </c>
      <c r="G29" s="4">
        <v>374326850</v>
      </c>
      <c r="H29" s="4">
        <v>106036850</v>
      </c>
      <c r="I29" s="2">
        <v>147</v>
      </c>
    </row>
    <row r="30" spans="1:9" x14ac:dyDescent="0.25">
      <c r="A30" s="2" t="s">
        <v>30</v>
      </c>
      <c r="B30" s="4">
        <v>179190900</v>
      </c>
      <c r="C30" s="4">
        <v>52394900</v>
      </c>
      <c r="D30" s="2">
        <v>83</v>
      </c>
      <c r="F30" s="2" t="s">
        <v>24</v>
      </c>
      <c r="G30" s="4">
        <v>314981050</v>
      </c>
      <c r="H30" s="4">
        <v>95450050</v>
      </c>
      <c r="I30" s="2">
        <v>159</v>
      </c>
    </row>
    <row r="31" spans="1:9" x14ac:dyDescent="0.25">
      <c r="A31" s="2" t="s">
        <v>41</v>
      </c>
      <c r="B31" s="4">
        <v>278413400</v>
      </c>
      <c r="C31" s="4">
        <v>81648400</v>
      </c>
      <c r="D31" s="2">
        <v>118</v>
      </c>
      <c r="F31" s="2" t="s">
        <v>19</v>
      </c>
      <c r="G31" s="4">
        <v>353929450</v>
      </c>
      <c r="H31" s="4">
        <v>110462450</v>
      </c>
      <c r="I31" s="2">
        <v>168</v>
      </c>
    </row>
    <row r="32" spans="1:9" x14ac:dyDescent="0.25">
      <c r="A32" s="2" t="s">
        <v>16</v>
      </c>
      <c r="B32" s="4">
        <v>235836450</v>
      </c>
      <c r="C32" s="4">
        <v>68766450</v>
      </c>
      <c r="D32" s="2">
        <v>96</v>
      </c>
      <c r="G32" s="5"/>
      <c r="H32" s="5"/>
    </row>
    <row r="33" spans="1:8" x14ac:dyDescent="0.25">
      <c r="A33" s="2" t="s">
        <v>40</v>
      </c>
      <c r="B33" s="4">
        <v>297669000</v>
      </c>
      <c r="C33" s="4">
        <v>89445000</v>
      </c>
      <c r="D33" s="2">
        <v>121</v>
      </c>
      <c r="G33" s="5"/>
      <c r="H33" s="5"/>
    </row>
    <row r="34" spans="1:8" x14ac:dyDescent="0.25">
      <c r="A34" s="2" t="s">
        <v>26</v>
      </c>
      <c r="B34" s="4">
        <v>203396100</v>
      </c>
      <c r="C34" s="4">
        <v>61886100</v>
      </c>
      <c r="D34" s="2">
        <v>97</v>
      </c>
      <c r="G34" s="5"/>
      <c r="H34" s="5"/>
    </row>
    <row r="35" spans="1:8" x14ac:dyDescent="0.25">
      <c r="B35" s="5"/>
      <c r="C35" s="5"/>
      <c r="G35" s="5"/>
      <c r="H35" s="5"/>
    </row>
    <row r="36" spans="1:8" x14ac:dyDescent="0.25">
      <c r="B36" s="5"/>
      <c r="C36" s="5"/>
      <c r="G36" s="5"/>
      <c r="H36" s="5"/>
    </row>
    <row r="37" spans="1:8" x14ac:dyDescent="0.25">
      <c r="B37" s="5"/>
      <c r="C37" s="5"/>
      <c r="G37" s="5"/>
      <c r="H37" s="5"/>
    </row>
    <row r="38" spans="1:8" x14ac:dyDescent="0.25">
      <c r="B38" s="5"/>
      <c r="C38" s="5"/>
      <c r="G38" s="5"/>
      <c r="H38" s="5"/>
    </row>
    <row r="39" spans="1:8" x14ac:dyDescent="0.25">
      <c r="B39" s="5"/>
      <c r="C39" s="5"/>
      <c r="G39" s="5"/>
      <c r="H39" s="5"/>
    </row>
  </sheetData>
  <mergeCells count="9">
    <mergeCell ref="C10:E10"/>
    <mergeCell ref="C11:E11"/>
    <mergeCell ref="A2:G2"/>
    <mergeCell ref="A1:G1"/>
    <mergeCell ref="C5:E5"/>
    <mergeCell ref="C6:E6"/>
    <mergeCell ref="C7:E7"/>
    <mergeCell ref="C8:E8"/>
    <mergeCell ref="C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workbookViewId="0">
      <selection activeCell="I19" sqref="I19"/>
    </sheetView>
  </sheetViews>
  <sheetFormatPr defaultColWidth="8.85546875" defaultRowHeight="15" x14ac:dyDescent="0.25"/>
  <cols>
    <col min="1" max="1" width="20" customWidth="1"/>
    <col min="2" max="3" width="16" customWidth="1"/>
    <col min="4" max="4" width="12" customWidth="1"/>
    <col min="6" max="6" width="18" customWidth="1"/>
    <col min="7" max="8" width="16" customWidth="1"/>
    <col min="9" max="9" width="12" customWidth="1"/>
  </cols>
  <sheetData>
    <row r="1" spans="1:9" ht="30" customHeight="1" x14ac:dyDescent="0.25">
      <c r="A1" s="24" t="s">
        <v>63</v>
      </c>
      <c r="B1" s="20"/>
      <c r="C1" s="20"/>
      <c r="D1" s="20"/>
      <c r="E1" s="20"/>
      <c r="F1" s="20"/>
      <c r="G1" s="20"/>
    </row>
    <row r="2" spans="1:9" x14ac:dyDescent="0.25">
      <c r="A2" s="19" t="s">
        <v>64</v>
      </c>
      <c r="B2" s="20"/>
      <c r="C2" s="20"/>
      <c r="D2" s="20"/>
      <c r="E2" s="20"/>
      <c r="F2" s="20"/>
      <c r="G2" s="20"/>
    </row>
    <row r="5" spans="1:9" x14ac:dyDescent="0.25">
      <c r="A5" s="1" t="s">
        <v>13</v>
      </c>
      <c r="B5" s="1" t="s">
        <v>14</v>
      </c>
      <c r="C5" s="1" t="s">
        <v>15</v>
      </c>
      <c r="D5" s="1" t="s">
        <v>62</v>
      </c>
      <c r="F5" s="1" t="s">
        <v>11</v>
      </c>
      <c r="G5" s="1" t="s">
        <v>14</v>
      </c>
      <c r="H5" s="1" t="s">
        <v>15</v>
      </c>
      <c r="I5" s="1" t="s">
        <v>62</v>
      </c>
    </row>
    <row r="6" spans="1:9" x14ac:dyDescent="0.25">
      <c r="A6" s="2" t="s">
        <v>29</v>
      </c>
      <c r="B6" s="4">
        <v>147364783</v>
      </c>
      <c r="C6" s="4"/>
      <c r="D6" s="2">
        <v>121</v>
      </c>
      <c r="F6" s="2" t="s">
        <v>18</v>
      </c>
      <c r="G6" s="4">
        <v>160665707</v>
      </c>
      <c r="H6" s="2"/>
      <c r="I6" s="2">
        <v>133</v>
      </c>
    </row>
    <row r="7" spans="1:9" x14ac:dyDescent="0.25">
      <c r="A7" s="2" t="s">
        <v>20</v>
      </c>
      <c r="B7" s="4">
        <v>145524277</v>
      </c>
      <c r="C7" s="4"/>
      <c r="D7" s="2">
        <v>118</v>
      </c>
      <c r="F7" s="2" t="s">
        <v>23</v>
      </c>
      <c r="G7" s="4">
        <v>149742102</v>
      </c>
      <c r="H7" s="2"/>
      <c r="I7" s="2">
        <v>118</v>
      </c>
    </row>
    <row r="8" spans="1:9" x14ac:dyDescent="0.25">
      <c r="A8" s="2" t="s">
        <v>25</v>
      </c>
      <c r="B8" s="4">
        <v>159686537</v>
      </c>
      <c r="C8" s="4"/>
      <c r="D8" s="2">
        <v>122</v>
      </c>
      <c r="F8" s="2" t="s">
        <v>27</v>
      </c>
      <c r="G8" s="4">
        <v>131942297</v>
      </c>
      <c r="H8" s="2"/>
      <c r="I8" s="2">
        <v>99</v>
      </c>
    </row>
    <row r="9" spans="1:9" x14ac:dyDescent="0.25">
      <c r="A9" s="2" t="s">
        <v>35</v>
      </c>
      <c r="B9" s="4">
        <v>140391552</v>
      </c>
      <c r="C9" s="4"/>
      <c r="D9" s="2">
        <v>113</v>
      </c>
      <c r="F9" s="2" t="s">
        <v>31</v>
      </c>
      <c r="G9" s="4">
        <v>161830148</v>
      </c>
      <c r="H9" s="2"/>
      <c r="I9" s="2">
        <v>143</v>
      </c>
    </row>
    <row r="10" spans="1:9" x14ac:dyDescent="0.25">
      <c r="A10" s="2" t="s">
        <v>32</v>
      </c>
      <c r="B10" s="4">
        <v>148175444</v>
      </c>
      <c r="C10" s="4"/>
      <c r="D10" s="2">
        <v>163</v>
      </c>
      <c r="F10" s="2" t="s">
        <v>34</v>
      </c>
      <c r="G10" s="4">
        <v>136962339</v>
      </c>
      <c r="H10" s="2"/>
      <c r="I10" s="2">
        <v>107</v>
      </c>
    </row>
    <row r="12" spans="1:9" x14ac:dyDescent="0.25">
      <c r="A12" s="1" t="s">
        <v>9</v>
      </c>
      <c r="B12" s="1" t="s">
        <v>14</v>
      </c>
      <c r="C12" s="1" t="s">
        <v>15</v>
      </c>
      <c r="D12" s="1" t="s">
        <v>62</v>
      </c>
      <c r="F12" s="1" t="s">
        <v>12</v>
      </c>
      <c r="G12" s="1" t="s">
        <v>14</v>
      </c>
      <c r="H12" s="1" t="s">
        <v>15</v>
      </c>
      <c r="I12" s="1" t="s">
        <v>62</v>
      </c>
    </row>
    <row r="13" spans="1:9" x14ac:dyDescent="0.25">
      <c r="A13" s="2" t="s">
        <v>42</v>
      </c>
      <c r="B13" s="4">
        <v>118942878</v>
      </c>
      <c r="C13" s="2"/>
      <c r="D13" s="2">
        <v>96</v>
      </c>
      <c r="F13" s="12" t="s">
        <v>147</v>
      </c>
      <c r="G13" s="11">
        <v>127731414</v>
      </c>
      <c r="H13" s="2"/>
      <c r="I13" s="2">
        <v>110</v>
      </c>
    </row>
    <row r="14" spans="1:9" x14ac:dyDescent="0.25">
      <c r="A14" s="12" t="s">
        <v>30</v>
      </c>
      <c r="B14" s="11">
        <v>109577599</v>
      </c>
      <c r="C14" s="2"/>
      <c r="D14" s="2">
        <v>92</v>
      </c>
      <c r="F14" s="12" t="s">
        <v>173</v>
      </c>
      <c r="G14" s="11">
        <v>121722018</v>
      </c>
      <c r="H14" s="2"/>
      <c r="I14" s="2">
        <v>99</v>
      </c>
    </row>
    <row r="15" spans="1:9" x14ac:dyDescent="0.25">
      <c r="A15" s="2" t="s">
        <v>41</v>
      </c>
      <c r="B15" s="11">
        <v>136711251</v>
      </c>
      <c r="C15" s="2"/>
      <c r="D15" s="2">
        <v>118</v>
      </c>
      <c r="F15" s="12" t="s">
        <v>39</v>
      </c>
      <c r="G15" s="11">
        <v>123636429</v>
      </c>
      <c r="H15" s="2"/>
      <c r="I15" s="2">
        <v>101</v>
      </c>
    </row>
    <row r="16" spans="1:9" x14ac:dyDescent="0.25">
      <c r="A16" s="2" t="s">
        <v>16</v>
      </c>
      <c r="B16" s="4">
        <v>122161077</v>
      </c>
      <c r="C16" s="2"/>
      <c r="D16" s="2">
        <v>105</v>
      </c>
      <c r="F16" s="12" t="s">
        <v>169</v>
      </c>
      <c r="G16" s="11">
        <v>113121627</v>
      </c>
      <c r="H16" s="2"/>
      <c r="I16" s="2">
        <v>91</v>
      </c>
    </row>
    <row r="17" spans="1:9" x14ac:dyDescent="0.25">
      <c r="A17" s="2" t="s">
        <v>40</v>
      </c>
      <c r="B17" s="11">
        <v>113266643</v>
      </c>
      <c r="C17" s="2"/>
      <c r="D17" s="2">
        <v>85</v>
      </c>
      <c r="F17" s="13" t="s">
        <v>177</v>
      </c>
      <c r="G17" s="5">
        <v>129011254</v>
      </c>
      <c r="I17" s="13">
        <v>98</v>
      </c>
    </row>
    <row r="18" spans="1:9" x14ac:dyDescent="0.25">
      <c r="A18" s="2" t="s">
        <v>26</v>
      </c>
      <c r="B18" s="11">
        <v>140483145</v>
      </c>
      <c r="C18" s="2"/>
      <c r="D18" s="2">
        <v>104</v>
      </c>
      <c r="F18" s="13" t="s">
        <v>136</v>
      </c>
      <c r="G18" s="5">
        <v>125919851</v>
      </c>
      <c r="I18" s="13">
        <v>101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50"/>
  <sheetViews>
    <sheetView showGridLines="0" topLeftCell="B17" zoomScale="62" zoomScaleNormal="62" workbookViewId="0">
      <selection activeCell="U25" sqref="U25"/>
    </sheetView>
  </sheetViews>
  <sheetFormatPr defaultColWidth="8.85546875" defaultRowHeight="15" x14ac:dyDescent="0.25"/>
  <cols>
    <col min="1" max="17" width="12" customWidth="1"/>
  </cols>
  <sheetData>
    <row r="1" spans="2:17" ht="20.100000000000001" customHeight="1" x14ac:dyDescent="0.25"/>
    <row r="2" spans="2:17" ht="20.100000000000001" customHeight="1" x14ac:dyDescent="0.25">
      <c r="B2" s="26" t="s">
        <v>65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7"/>
    </row>
    <row r="3" spans="2:17" ht="20.100000000000001" customHeight="1" x14ac:dyDescent="0.2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7"/>
    </row>
    <row r="4" spans="2:17" ht="20.100000000000001" customHeight="1" x14ac:dyDescent="0.25">
      <c r="B4" s="27" t="s">
        <v>66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7"/>
    </row>
    <row r="5" spans="2:17" ht="20.100000000000001" customHeight="1" x14ac:dyDescent="0.25">
      <c r="B5" s="38" t="s">
        <v>51</v>
      </c>
      <c r="C5" s="39"/>
      <c r="D5" s="39"/>
      <c r="E5" s="38" t="s">
        <v>52</v>
      </c>
      <c r="F5" s="39"/>
      <c r="G5" s="39"/>
      <c r="H5" s="38" t="s">
        <v>54</v>
      </c>
      <c r="I5" s="39"/>
      <c r="J5" s="39"/>
      <c r="K5" s="38" t="s">
        <v>56</v>
      </c>
      <c r="L5" s="39"/>
      <c r="M5" s="39"/>
      <c r="N5" s="38" t="s">
        <v>58</v>
      </c>
      <c r="O5" s="39"/>
      <c r="P5" s="39"/>
      <c r="Q5" s="7"/>
    </row>
    <row r="6" spans="2:17" ht="20.100000000000001" customHeight="1" x14ac:dyDescent="0.25">
      <c r="B6" s="31">
        <f>'Summary Analysis'!B6</f>
        <v>741142593</v>
      </c>
      <c r="C6" s="32"/>
      <c r="D6" s="32"/>
      <c r="E6" s="31">
        <f>'Summary Analysis'!F7</f>
        <v>0</v>
      </c>
      <c r="F6" s="32"/>
      <c r="G6" s="32"/>
      <c r="H6" s="31">
        <f>'Summary Analysis'!B8</f>
        <v>600</v>
      </c>
      <c r="I6" s="32"/>
      <c r="J6" s="32"/>
      <c r="K6" s="31">
        <f>'Summary Analysis'!B9</f>
        <v>1235237.655</v>
      </c>
      <c r="L6" s="32"/>
      <c r="M6" s="32"/>
      <c r="N6" s="37">
        <f>'Summary Analysis'!B10</f>
        <v>0</v>
      </c>
      <c r="O6" s="32"/>
      <c r="P6" s="32"/>
    </row>
    <row r="7" spans="2:17" ht="20.100000000000001" customHeight="1" x14ac:dyDescent="0.2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2:17" ht="20.100000000000001" customHeight="1" x14ac:dyDescent="0.25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7"/>
    </row>
    <row r="9" spans="2:17" ht="20.100000000000001" customHeight="1" x14ac:dyDescent="0.25">
      <c r="B9" s="33" t="s">
        <v>67</v>
      </c>
      <c r="C9" s="34"/>
      <c r="D9" s="34"/>
      <c r="E9" s="35" t="s">
        <v>68</v>
      </c>
      <c r="F9" s="36"/>
      <c r="G9" s="36"/>
      <c r="H9" s="35" t="s">
        <v>69</v>
      </c>
      <c r="I9" s="36"/>
      <c r="J9" s="36"/>
      <c r="K9" s="35" t="s">
        <v>70</v>
      </c>
      <c r="L9" s="36"/>
      <c r="M9" s="36"/>
      <c r="N9" s="35" t="s">
        <v>71</v>
      </c>
      <c r="O9" s="36"/>
      <c r="P9" s="36"/>
      <c r="Q9" s="7"/>
    </row>
    <row r="10" spans="2:17" ht="20.100000000000001" customHeight="1" x14ac:dyDescent="0.25">
      <c r="B10" s="31">
        <f>'Summary Analysis'!B11</f>
        <v>225</v>
      </c>
      <c r="C10" s="32"/>
      <c r="D10" s="32"/>
      <c r="E10" s="28" t="s">
        <v>72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7"/>
    </row>
    <row r="11" spans="2:17" ht="20.100000000000001" customHeight="1" x14ac:dyDescent="0.25">
      <c r="B11" s="32"/>
      <c r="C11" s="32"/>
      <c r="D11" s="32"/>
      <c r="E11" s="29" t="s">
        <v>73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7"/>
    </row>
    <row r="12" spans="2:17" ht="20.100000000000001" customHeight="1" x14ac:dyDescent="0.25">
      <c r="B12" s="32"/>
      <c r="C12" s="32"/>
      <c r="D12" s="3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7"/>
    </row>
    <row r="13" spans="2:17" ht="20.100000000000001" customHeight="1" x14ac:dyDescent="0.25">
      <c r="B13" s="40" t="s">
        <v>74</v>
      </c>
      <c r="C13" s="40"/>
      <c r="D13" s="4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2:17" ht="20.100000000000001" customHeight="1" x14ac:dyDescent="0.25"/>
    <row r="15" spans="2:17" ht="20.100000000000001" customHeight="1" x14ac:dyDescent="0.25"/>
    <row r="16" spans="2:17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</sheetData>
  <mergeCells count="21">
    <mergeCell ref="N5:P5"/>
    <mergeCell ref="B13:D13"/>
    <mergeCell ref="E9:G9"/>
    <mergeCell ref="B10:D12"/>
    <mergeCell ref="H6:J8"/>
    <mergeCell ref="B2:P3"/>
    <mergeCell ref="B4:P4"/>
    <mergeCell ref="E10:P10"/>
    <mergeCell ref="E11:P13"/>
    <mergeCell ref="B6:D8"/>
    <mergeCell ref="B9:D9"/>
    <mergeCell ref="N9:P9"/>
    <mergeCell ref="N6:P8"/>
    <mergeCell ref="B5:D5"/>
    <mergeCell ref="H5:J5"/>
    <mergeCell ref="K6:M8"/>
    <mergeCell ref="K9:M9"/>
    <mergeCell ref="E5:G5"/>
    <mergeCell ref="K5:M5"/>
    <mergeCell ref="H9:J9"/>
    <mergeCell ref="E6:G8"/>
  </mergeCells>
  <pageMargins left="0.75" right="0.75" top="1" bottom="1" header="0.5" footer="0.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8A36-6AE4-427F-9D9B-937FCD5A4732}">
  <dimension ref="A1:K32"/>
  <sheetViews>
    <sheetView tabSelected="1" topLeftCell="F1" workbookViewId="0">
      <selection activeCell="F17" sqref="F17"/>
    </sheetView>
  </sheetViews>
  <sheetFormatPr defaultRowHeight="15" x14ac:dyDescent="0.25"/>
  <cols>
    <col min="1" max="1" width="14.5703125" bestFit="1" customWidth="1"/>
    <col min="2" max="2" width="18.5703125" bestFit="1" customWidth="1"/>
    <col min="3" max="4" width="21.85546875" bestFit="1" customWidth="1"/>
    <col min="5" max="5" width="14.140625" bestFit="1" customWidth="1"/>
    <col min="6" max="6" width="18.5703125" bestFit="1" customWidth="1"/>
    <col min="7" max="7" width="21.85546875" bestFit="1" customWidth="1"/>
    <col min="8" max="8" width="18.5703125" bestFit="1" customWidth="1"/>
    <col min="9" max="9" width="42.42578125" bestFit="1" customWidth="1"/>
    <col min="10" max="11" width="21.85546875" bestFit="1" customWidth="1"/>
  </cols>
  <sheetData>
    <row r="1" spans="1:11" x14ac:dyDescent="0.25">
      <c r="A1" s="9" t="s">
        <v>1328</v>
      </c>
      <c r="B1" t="s">
        <v>21</v>
      </c>
      <c r="G1" s="9" t="s">
        <v>1328</v>
      </c>
      <c r="H1" t="s">
        <v>21</v>
      </c>
    </row>
    <row r="3" spans="1:11" x14ac:dyDescent="0.25">
      <c r="A3" s="9" t="s">
        <v>1329</v>
      </c>
      <c r="B3" t="s">
        <v>1331</v>
      </c>
      <c r="D3" s="9" t="s">
        <v>1328</v>
      </c>
      <c r="E3" t="s">
        <v>21</v>
      </c>
      <c r="G3" s="9" t="s">
        <v>1329</v>
      </c>
      <c r="H3" t="s">
        <v>1331</v>
      </c>
      <c r="J3" s="9" t="s">
        <v>1328</v>
      </c>
      <c r="K3" t="s">
        <v>21</v>
      </c>
    </row>
    <row r="4" spans="1:11" x14ac:dyDescent="0.25">
      <c r="A4" s="10" t="s">
        <v>25</v>
      </c>
      <c r="B4" s="5">
        <v>159686537</v>
      </c>
      <c r="D4" s="9" t="s">
        <v>126</v>
      </c>
      <c r="E4" t="s">
        <v>32</v>
      </c>
      <c r="G4" s="10" t="s">
        <v>31</v>
      </c>
      <c r="H4" s="5">
        <v>161830148</v>
      </c>
      <c r="J4" s="9" t="s">
        <v>112</v>
      </c>
      <c r="K4" t="s">
        <v>34</v>
      </c>
    </row>
    <row r="5" spans="1:11" x14ac:dyDescent="0.25">
      <c r="A5" s="10" t="s">
        <v>32</v>
      </c>
      <c r="B5" s="5">
        <v>148175444</v>
      </c>
      <c r="G5" s="10" t="s">
        <v>18</v>
      </c>
      <c r="H5" s="5">
        <v>160665707</v>
      </c>
    </row>
    <row r="6" spans="1:11" x14ac:dyDescent="0.25">
      <c r="A6" s="10" t="s">
        <v>29</v>
      </c>
      <c r="B6" s="5">
        <v>147364783</v>
      </c>
      <c r="D6" t="s">
        <v>1332</v>
      </c>
      <c r="G6" s="10" t="s">
        <v>23</v>
      </c>
      <c r="H6" s="5">
        <v>149742102</v>
      </c>
      <c r="J6" t="s">
        <v>1332</v>
      </c>
    </row>
    <row r="7" spans="1:11" x14ac:dyDescent="0.25">
      <c r="A7" s="10" t="s">
        <v>20</v>
      </c>
      <c r="B7" s="5">
        <v>145524277</v>
      </c>
      <c r="D7" s="5">
        <v>126</v>
      </c>
      <c r="G7" s="10" t="s">
        <v>34</v>
      </c>
      <c r="H7" s="5">
        <v>136962339</v>
      </c>
      <c r="J7" s="5">
        <v>107</v>
      </c>
    </row>
    <row r="8" spans="1:11" x14ac:dyDescent="0.25">
      <c r="A8" s="10" t="s">
        <v>35</v>
      </c>
      <c r="B8" s="5">
        <v>140391552</v>
      </c>
      <c r="G8" s="10" t="s">
        <v>27</v>
      </c>
      <c r="H8" s="5">
        <v>131942297</v>
      </c>
    </row>
    <row r="9" spans="1:11" x14ac:dyDescent="0.25">
      <c r="A9" s="10" t="s">
        <v>1330</v>
      </c>
      <c r="B9" s="5">
        <v>741142593</v>
      </c>
      <c r="G9" s="10" t="s">
        <v>1330</v>
      </c>
      <c r="H9" s="5">
        <v>741142593</v>
      </c>
    </row>
    <row r="14" spans="1:11" x14ac:dyDescent="0.25">
      <c r="A14" s="9" t="s">
        <v>1328</v>
      </c>
      <c r="B14" t="s">
        <v>21</v>
      </c>
      <c r="E14" s="9" t="s">
        <v>1328</v>
      </c>
      <c r="F14" t="s">
        <v>21</v>
      </c>
    </row>
    <row r="16" spans="1:11" x14ac:dyDescent="0.25">
      <c r="A16" s="9" t="s">
        <v>1329</v>
      </c>
      <c r="B16" t="s">
        <v>1331</v>
      </c>
      <c r="C16" t="s">
        <v>1332</v>
      </c>
      <c r="E16" s="9" t="s">
        <v>1329</v>
      </c>
      <c r="F16" t="s">
        <v>1331</v>
      </c>
      <c r="G16" t="s">
        <v>1332</v>
      </c>
      <c r="I16" s="9" t="s">
        <v>1329</v>
      </c>
      <c r="J16" t="s">
        <v>1332</v>
      </c>
    </row>
    <row r="17" spans="1:10" x14ac:dyDescent="0.25">
      <c r="A17" s="10" t="s">
        <v>116</v>
      </c>
      <c r="B17" s="5">
        <v>136711251</v>
      </c>
      <c r="C17" s="5">
        <v>118</v>
      </c>
      <c r="E17" s="10" t="s">
        <v>177</v>
      </c>
      <c r="F17" s="5">
        <v>129011254</v>
      </c>
      <c r="G17" s="5">
        <v>98</v>
      </c>
      <c r="I17" s="10" t="s">
        <v>21</v>
      </c>
      <c r="J17" s="5">
        <v>600</v>
      </c>
    </row>
    <row r="18" spans="1:10" x14ac:dyDescent="0.25">
      <c r="A18" s="10" t="s">
        <v>114</v>
      </c>
      <c r="B18" s="5">
        <v>109577599</v>
      </c>
      <c r="C18" s="5">
        <v>92</v>
      </c>
      <c r="E18" s="10" t="s">
        <v>147</v>
      </c>
      <c r="F18" s="5">
        <v>127731414</v>
      </c>
      <c r="G18" s="5">
        <v>110</v>
      </c>
      <c r="I18" s="10" t="s">
        <v>45</v>
      </c>
      <c r="J18" s="5">
        <v>6</v>
      </c>
    </row>
    <row r="19" spans="1:10" x14ac:dyDescent="0.25">
      <c r="A19" s="10" t="s">
        <v>115</v>
      </c>
      <c r="B19" s="5">
        <v>113266643</v>
      </c>
      <c r="C19" s="5">
        <v>85</v>
      </c>
      <c r="E19" s="10" t="s">
        <v>136</v>
      </c>
      <c r="F19" s="5">
        <v>125919851</v>
      </c>
      <c r="G19" s="5">
        <v>101</v>
      </c>
      <c r="I19" s="10" t="s">
        <v>1322</v>
      </c>
      <c r="J19" s="5">
        <v>4</v>
      </c>
    </row>
    <row r="20" spans="1:10" x14ac:dyDescent="0.25">
      <c r="A20" s="10" t="s">
        <v>117</v>
      </c>
      <c r="B20" s="5">
        <v>118942878</v>
      </c>
      <c r="C20" s="5">
        <v>96</v>
      </c>
      <c r="E20" s="10" t="s">
        <v>39</v>
      </c>
      <c r="F20" s="5">
        <v>123636429</v>
      </c>
      <c r="G20" s="5">
        <v>101</v>
      </c>
      <c r="I20" s="10" t="s">
        <v>1319</v>
      </c>
      <c r="J20" s="5">
        <v>6</v>
      </c>
    </row>
    <row r="21" spans="1:10" x14ac:dyDescent="0.25">
      <c r="A21" s="10" t="s">
        <v>26</v>
      </c>
      <c r="B21" s="5">
        <v>140483145</v>
      </c>
      <c r="C21" s="5">
        <v>104</v>
      </c>
      <c r="E21" s="10" t="s">
        <v>173</v>
      </c>
      <c r="F21" s="5">
        <v>121722018</v>
      </c>
      <c r="G21" s="5">
        <v>99</v>
      </c>
      <c r="I21" s="10" t="s">
        <v>1320</v>
      </c>
      <c r="J21" s="5">
        <v>1</v>
      </c>
    </row>
    <row r="22" spans="1:10" x14ac:dyDescent="0.25">
      <c r="A22" s="10" t="s">
        <v>113</v>
      </c>
      <c r="B22" s="5">
        <v>122161077</v>
      </c>
      <c r="C22" s="5">
        <v>105</v>
      </c>
      <c r="E22" s="10" t="s">
        <v>169</v>
      </c>
      <c r="F22" s="5">
        <v>113121627</v>
      </c>
      <c r="G22" s="5">
        <v>91</v>
      </c>
      <c r="I22" s="10" t="s">
        <v>121</v>
      </c>
      <c r="J22" s="5">
        <v>9</v>
      </c>
    </row>
    <row r="23" spans="1:10" x14ac:dyDescent="0.25">
      <c r="A23" s="10" t="s">
        <v>1330</v>
      </c>
      <c r="B23" s="5">
        <v>741142593</v>
      </c>
      <c r="C23" s="5">
        <v>600</v>
      </c>
      <c r="E23" s="10" t="s">
        <v>1330</v>
      </c>
      <c r="F23" s="5">
        <v>741142593</v>
      </c>
      <c r="G23" s="5">
        <v>600</v>
      </c>
      <c r="I23" s="10" t="s">
        <v>1327</v>
      </c>
      <c r="J23" s="5">
        <v>1</v>
      </c>
    </row>
    <row r="24" spans="1:10" x14ac:dyDescent="0.25">
      <c r="I24" s="10" t="s">
        <v>1326</v>
      </c>
      <c r="J24" s="5">
        <v>1</v>
      </c>
    </row>
    <row r="25" spans="1:10" x14ac:dyDescent="0.25">
      <c r="I25" s="10" t="s">
        <v>1325</v>
      </c>
      <c r="J25" s="5">
        <v>4</v>
      </c>
    </row>
    <row r="26" spans="1:10" x14ac:dyDescent="0.25">
      <c r="I26" s="10" t="s">
        <v>1317</v>
      </c>
      <c r="J26" s="5">
        <v>9</v>
      </c>
    </row>
    <row r="27" spans="1:10" x14ac:dyDescent="0.25">
      <c r="I27" s="10" t="s">
        <v>1324</v>
      </c>
      <c r="J27" s="5">
        <v>1</v>
      </c>
    </row>
    <row r="28" spans="1:10" x14ac:dyDescent="0.25">
      <c r="I28" s="10" t="s">
        <v>1321</v>
      </c>
      <c r="J28" s="5">
        <v>12</v>
      </c>
    </row>
    <row r="29" spans="1:10" x14ac:dyDescent="0.25">
      <c r="I29" s="10" t="s">
        <v>1323</v>
      </c>
      <c r="J29" s="5">
        <v>1</v>
      </c>
    </row>
    <row r="30" spans="1:10" x14ac:dyDescent="0.25">
      <c r="I30" s="10" t="s">
        <v>1318</v>
      </c>
      <c r="J30" s="5">
        <v>142</v>
      </c>
    </row>
    <row r="31" spans="1:10" x14ac:dyDescent="0.25">
      <c r="I31" s="10" t="s">
        <v>38</v>
      </c>
      <c r="J31" s="5">
        <v>28</v>
      </c>
    </row>
    <row r="32" spans="1:10" x14ac:dyDescent="0.25">
      <c r="I32" s="10" t="s">
        <v>1330</v>
      </c>
      <c r="J32" s="5">
        <v>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showGridLines="0" workbookViewId="0">
      <selection activeCell="A24" sqref="A24"/>
    </sheetView>
  </sheetViews>
  <sheetFormatPr defaultColWidth="8.85546875" defaultRowHeight="15" x14ac:dyDescent="0.25"/>
  <cols>
    <col min="1" max="1" width="41.42578125" customWidth="1"/>
    <col min="2" max="2" width="12" customWidth="1"/>
    <col min="4" max="4" width="16" customWidth="1"/>
  </cols>
  <sheetData>
    <row r="1" spans="1:8" ht="30" customHeight="1" x14ac:dyDescent="0.25">
      <c r="A1" s="24" t="s">
        <v>75</v>
      </c>
      <c r="B1" s="20"/>
      <c r="C1" s="20"/>
      <c r="D1" s="20"/>
      <c r="E1" s="20"/>
      <c r="F1" s="20"/>
      <c r="G1" s="20"/>
      <c r="H1" s="20"/>
    </row>
    <row r="2" spans="1:8" x14ac:dyDescent="0.25">
      <c r="A2" s="19" t="s">
        <v>76</v>
      </c>
      <c r="B2" s="20"/>
      <c r="C2" s="20"/>
      <c r="D2" s="20"/>
      <c r="E2" s="20"/>
      <c r="F2" s="20"/>
      <c r="G2" s="20"/>
      <c r="H2" s="20"/>
    </row>
    <row r="5" spans="1:8" x14ac:dyDescent="0.25">
      <c r="A5" s="14" t="s">
        <v>1333</v>
      </c>
      <c r="B5" s="1" t="s">
        <v>77</v>
      </c>
    </row>
    <row r="6" spans="1:8" x14ac:dyDescent="0.25">
      <c r="A6" s="12" t="s">
        <v>21</v>
      </c>
      <c r="B6" s="12">
        <v>600</v>
      </c>
    </row>
    <row r="7" spans="1:8" x14ac:dyDescent="0.25">
      <c r="A7" s="12" t="s">
        <v>38</v>
      </c>
      <c r="B7" s="12">
        <v>28</v>
      </c>
    </row>
    <row r="8" spans="1:8" x14ac:dyDescent="0.25">
      <c r="A8" s="12" t="s">
        <v>1317</v>
      </c>
      <c r="B8" s="12">
        <v>9</v>
      </c>
    </row>
    <row r="9" spans="1:8" x14ac:dyDescent="0.25">
      <c r="A9" s="12" t="s">
        <v>1324</v>
      </c>
      <c r="B9" s="12">
        <v>1</v>
      </c>
    </row>
    <row r="10" spans="1:8" x14ac:dyDescent="0.25">
      <c r="A10" s="12" t="s">
        <v>121</v>
      </c>
      <c r="B10" s="12">
        <v>9</v>
      </c>
    </row>
    <row r="11" spans="1:8" x14ac:dyDescent="0.25">
      <c r="A11" s="12" t="s">
        <v>1327</v>
      </c>
      <c r="B11" s="12">
        <v>1</v>
      </c>
    </row>
    <row r="12" spans="1:8" x14ac:dyDescent="0.25">
      <c r="A12" s="15" t="s">
        <v>1326</v>
      </c>
      <c r="B12" s="15">
        <v>1</v>
      </c>
    </row>
    <row r="13" spans="1:8" x14ac:dyDescent="0.25">
      <c r="A13" s="15" t="s">
        <v>1325</v>
      </c>
      <c r="B13" s="15">
        <v>4</v>
      </c>
    </row>
    <row r="14" spans="1:8" x14ac:dyDescent="0.25">
      <c r="A14" s="13" t="s">
        <v>45</v>
      </c>
      <c r="B14" s="15">
        <v>6</v>
      </c>
    </row>
    <row r="15" spans="1:8" x14ac:dyDescent="0.25">
      <c r="A15" s="13" t="s">
        <v>1322</v>
      </c>
      <c r="B15" s="15">
        <v>4</v>
      </c>
    </row>
    <row r="16" spans="1:8" x14ac:dyDescent="0.25">
      <c r="A16" s="15" t="s">
        <v>1319</v>
      </c>
      <c r="B16" s="15">
        <v>6</v>
      </c>
    </row>
    <row r="17" spans="1:2" x14ac:dyDescent="0.25">
      <c r="A17" s="15" t="s">
        <v>1320</v>
      </c>
      <c r="B17" s="15">
        <v>1</v>
      </c>
    </row>
    <row r="18" spans="1:2" x14ac:dyDescent="0.25">
      <c r="A18" s="15" t="s">
        <v>1321</v>
      </c>
      <c r="B18" s="15">
        <v>12</v>
      </c>
    </row>
    <row r="19" spans="1:2" x14ac:dyDescent="0.25">
      <c r="A19" s="15" t="s">
        <v>1334</v>
      </c>
      <c r="B19" s="15">
        <v>1</v>
      </c>
    </row>
    <row r="20" spans="1:2" x14ac:dyDescent="0.25">
      <c r="A20" s="15" t="s">
        <v>1318</v>
      </c>
      <c r="B20" s="15">
        <v>142</v>
      </c>
    </row>
  </sheetData>
  <mergeCells count="2">
    <mergeCell ref="A2:H2"/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B20" sqref="B20"/>
    </sheetView>
  </sheetViews>
  <sheetFormatPr defaultColWidth="8.85546875" defaultRowHeight="15" x14ac:dyDescent="0.25"/>
  <cols>
    <col min="1" max="1" width="24" customWidth="1"/>
    <col min="2" max="2" width="58" customWidth="1"/>
    <col min="3" max="3" width="70" customWidth="1"/>
  </cols>
  <sheetData>
    <row r="1" spans="1:8" ht="30" customHeight="1" x14ac:dyDescent="0.25">
      <c r="A1" s="24" t="s">
        <v>78</v>
      </c>
      <c r="B1" s="20"/>
      <c r="C1" s="20"/>
      <c r="D1" s="20"/>
      <c r="E1" s="20"/>
      <c r="F1" s="20"/>
      <c r="G1" s="20"/>
      <c r="H1" s="20"/>
    </row>
    <row r="2" spans="1:8" x14ac:dyDescent="0.25">
      <c r="A2" s="19" t="s">
        <v>79</v>
      </c>
      <c r="B2" s="20"/>
      <c r="C2" s="20"/>
      <c r="D2" s="20"/>
      <c r="E2" s="20"/>
      <c r="F2" s="20"/>
      <c r="G2" s="20"/>
      <c r="H2" s="20"/>
    </row>
    <row r="5" spans="1:8" x14ac:dyDescent="0.25">
      <c r="A5" s="1" t="s">
        <v>80</v>
      </c>
      <c r="B5" s="1" t="s">
        <v>81</v>
      </c>
      <c r="C5" s="1" t="s">
        <v>82</v>
      </c>
    </row>
    <row r="6" spans="1:8" x14ac:dyDescent="0.25">
      <c r="A6" s="12" t="s">
        <v>1335</v>
      </c>
      <c r="B6" s="12" t="s">
        <v>1336</v>
      </c>
      <c r="C6" s="16" t="s">
        <v>1339</v>
      </c>
    </row>
    <row r="7" spans="1:8" x14ac:dyDescent="0.25">
      <c r="A7" s="2" t="s">
        <v>83</v>
      </c>
      <c r="B7" s="12" t="s">
        <v>1337</v>
      </c>
      <c r="C7" s="3" t="s">
        <v>84</v>
      </c>
    </row>
    <row r="8" spans="1:8" x14ac:dyDescent="0.25">
      <c r="A8" s="2" t="s">
        <v>85</v>
      </c>
      <c r="B8" s="12" t="s">
        <v>1338</v>
      </c>
      <c r="C8" s="3" t="s">
        <v>86</v>
      </c>
    </row>
  </sheetData>
  <mergeCells count="2">
    <mergeCell ref="A2:H2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B3097CD-3FEE-40BC-9E77-3F583DE00DDB}">
  <ds:schemaRefs/>
</ds:datastoreItem>
</file>

<file path=customXml/itemProps2.xml><?xml version="1.0" encoding="utf-8"?>
<ds:datastoreItem xmlns:ds="http://schemas.openxmlformats.org/officeDocument/2006/customXml" ds:itemID="{98C4EBEE-5442-4B6B-81DE-03F38D563AA3}">
  <ds:schemaRefs/>
</ds:datastoreItem>
</file>

<file path=customXml/itemProps3.xml><?xml version="1.0" encoding="utf-8"?>
<ds:datastoreItem xmlns:ds="http://schemas.openxmlformats.org/officeDocument/2006/customXml" ds:itemID="{AF758253-F37E-4A8A-9AF5-67793C0C76A1}">
  <ds:schemaRefs/>
</ds:datastoreItem>
</file>

<file path=customXml/itemProps4.xml><?xml version="1.0" encoding="utf-8"?>
<ds:datastoreItem xmlns:ds="http://schemas.openxmlformats.org/officeDocument/2006/customXml" ds:itemID="{537CE353-8101-497C-9611-9EC1C385B522}">
  <ds:schemaRefs/>
</ds:datastoreItem>
</file>

<file path=customXml/itemProps5.xml><?xml version="1.0" encoding="utf-8"?>
<ds:datastoreItem xmlns:ds="http://schemas.openxmlformats.org/officeDocument/2006/customXml" ds:itemID="{0B3D9CCD-5AD2-4F15-A513-01F25485F1DB}">
  <ds:schemaRefs/>
</ds:datastoreItem>
</file>

<file path=customXml/itemProps6.xml><?xml version="1.0" encoding="utf-8"?>
<ds:datastoreItem xmlns:ds="http://schemas.openxmlformats.org/officeDocument/2006/customXml" ds:itemID="{2AE5760B-AC55-41C0-B6B0-5DF5834702D8}">
  <ds:schemaRefs/>
</ds:datastoreItem>
</file>

<file path=customXml/itemProps7.xml><?xml version="1.0" encoding="utf-8"?>
<ds:datastoreItem xmlns:ds="http://schemas.openxmlformats.org/officeDocument/2006/customXml" ds:itemID="{794C00D8-2B31-4280-B5F1-B13B378D31A5}">
  <ds:schemaRefs/>
</ds:datastoreItem>
</file>

<file path=customXml/itemProps8.xml><?xml version="1.0" encoding="utf-8"?>
<ds:datastoreItem xmlns:ds="http://schemas.openxmlformats.org/officeDocument/2006/customXml" ds:itemID="{1E342B42-AF0A-4AD4-BC8D-C42F48264340}">
  <ds:schemaRefs/>
</ds:datastoreItem>
</file>

<file path=customXml/itemProps9.xml><?xml version="1.0" encoding="utf-8"?>
<ds:datastoreItem xmlns:ds="http://schemas.openxmlformats.org/officeDocument/2006/customXml" ds:itemID="{7F6F9F18-A6E1-44D0-B2C8-6584186DAAC5}">
  <ds:schemaRefs/>
</ds:datastoreItem>
</file>

<file path=customXml/itemProps10.xml><?xml version="1.0" encoding="utf-8"?>
<ds:datastoreItem xmlns:ds="http://schemas.openxmlformats.org/officeDocument/2006/customXml" ds:itemID="{2A2B32C1-944A-45A5-9EB4-015B1DF2EB3F}">
  <ds:schemaRefs/>
</ds:datastoreItem>
</file>

<file path=customXml/itemProps11.xml><?xml version="1.0" encoding="utf-8"?>
<ds:datastoreItem xmlns:ds="http://schemas.openxmlformats.org/officeDocument/2006/customXml" ds:itemID="{D13198D8-62EA-46B8-A71E-35D6182EA4C6}">
  <ds:schemaRefs/>
</ds:datastoreItem>
</file>

<file path=customXml/itemProps12.xml><?xml version="1.0" encoding="utf-8"?>
<ds:datastoreItem xmlns:ds="http://schemas.openxmlformats.org/officeDocument/2006/customXml" ds:itemID="{B516E175-6F35-4F59-9CB6-C202D5AB50E2}">
  <ds:schemaRefs/>
</ds:datastoreItem>
</file>

<file path=customXml/itemProps13.xml><?xml version="1.0" encoding="utf-8"?>
<ds:datastoreItem xmlns:ds="http://schemas.openxmlformats.org/officeDocument/2006/customXml" ds:itemID="{30B16CB0-DFF2-4C21-A0ED-E19C53A3C407}">
  <ds:schemaRefs/>
</ds:datastoreItem>
</file>

<file path=customXml/itemProps14.xml><?xml version="1.0" encoding="utf-8"?>
<ds:datastoreItem xmlns:ds="http://schemas.openxmlformats.org/officeDocument/2006/customXml" ds:itemID="{18FC9EF1-AC1D-4F67-A4EA-5E62A6B88481}">
  <ds:schemaRefs/>
</ds:datastoreItem>
</file>

<file path=customXml/itemProps15.xml><?xml version="1.0" encoding="utf-8"?>
<ds:datastoreItem xmlns:ds="http://schemas.openxmlformats.org/officeDocument/2006/customXml" ds:itemID="{696462AA-B5A0-4409-8B3A-21C25C300C3C}">
  <ds:schemaRefs/>
</ds:datastoreItem>
</file>

<file path=customXml/itemProps16.xml><?xml version="1.0" encoding="utf-8"?>
<ds:datastoreItem xmlns:ds="http://schemas.openxmlformats.org/officeDocument/2006/customXml" ds:itemID="{D60DC433-26A9-406B-A803-4797B3839C2E}">
  <ds:schemaRefs/>
</ds:datastoreItem>
</file>

<file path=customXml/itemProps17.xml><?xml version="1.0" encoding="utf-8"?>
<ds:datastoreItem xmlns:ds="http://schemas.openxmlformats.org/officeDocument/2006/customXml" ds:itemID="{5E903CA5-2A1E-434E-A809-B52B9EBA11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CustomerOrdersRaw</vt:lpstr>
      <vt:lpstr>Customer Orders Clean</vt:lpstr>
      <vt:lpstr>Summary Analysis</vt:lpstr>
      <vt:lpstr>Dashboard Data</vt:lpstr>
      <vt:lpstr>Dashboard</vt:lpstr>
      <vt:lpstr>Pivot Customer Orders Clean</vt:lpstr>
      <vt:lpstr>Data Quality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Suhastri</cp:lastModifiedBy>
  <dcterms:created xsi:type="dcterms:W3CDTF">2026-07-14T11:22:44Z</dcterms:created>
  <dcterms:modified xsi:type="dcterms:W3CDTF">2026-08-02T17:43:55Z</dcterms:modified>
</cp:coreProperties>
</file>